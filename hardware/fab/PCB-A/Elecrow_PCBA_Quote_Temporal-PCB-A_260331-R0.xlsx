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otal" sheetId="1" state="visible" r:id="rId3"/>
    <sheet name="TemporalBadge" sheetId="2" state="visible" r:id="rId4"/>
  </sheets>
  <definedNames>
    <definedName function="false" hidden="true" localSheetId="1" name="_xlnm._FilterDatabase" vbProcedure="false">TemporalBadge!$A$1:$M$54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<sst xmlns="http://schemas.openxmlformats.org/spreadsheetml/2006/main" count="448" uniqueCount="308">
  <si>
    <t xml:space="preserve">Quotation</t>
  </si>
  <si>
    <t xml:space="preserve">Vendor: Elecrow limited</t>
  </si>
  <si>
    <t xml:space="preserve">Customer:</t>
  </si>
  <si>
    <t xml:space="preserve">Customer Address</t>
  </si>
  <si>
    <t xml:space="preserve">Elecrow Address</t>
  </si>
  <si>
    <t xml:space="preserve">Contact Person: Chris</t>
  </si>
  <si>
    <t xml:space="preserve">Contact Person:</t>
  </si>
  <si>
    <t xml:space="preserve">United States</t>
  </si>
  <si>
    <t xml:space="preserve">5th Floor, Fengze Building B,Nanchang Huafeng Industrial Park, Hangcheng Street Hangkong Road, Baoan District, Shenzhen city, China,518126</t>
  </si>
  <si>
    <t xml:space="preserve">Tel: +86 755-23204330</t>
  </si>
  <si>
    <t xml:space="preserve">Tel:</t>
  </si>
  <si>
    <t xml:space="preserve">Email: service10@elecrow.com</t>
  </si>
  <si>
    <t xml:space="preserve">Email:</t>
  </si>
  <si>
    <t xml:space="preserve">Payment Method: Paypal/credit card/wire Transfer </t>
  </si>
  <si>
    <t xml:space="preserve">Date: 2026/3/30</t>
  </si>
  <si>
    <t xml:space="preserve">If there is any problem, please feel free to contact with me.</t>
  </si>
  <si>
    <t xml:space="preserve">For PCB Fabricate</t>
  </si>
  <si>
    <t xml:space="preserve">Project Name</t>
  </si>
  <si>
    <t xml:space="preserve">Layers</t>
  </si>
  <si>
    <t xml:space="preserve">Dimension/mm</t>
  </si>
  <si>
    <t xml:space="preserve">Thickness/mm</t>
  </si>
  <si>
    <t xml:space="preserve">Surface Finished</t>
  </si>
  <si>
    <t xml:space="preserve">Solder Mask</t>
  </si>
  <si>
    <t xml:space="preserve">Silkscreen</t>
  </si>
  <si>
    <t xml:space="preserve">Copper Weight</t>
  </si>
  <si>
    <t xml:space="preserve">Different Design</t>
  </si>
  <si>
    <t xml:space="preserve">Qty.</t>
  </si>
  <si>
    <t xml:space="preserve">Quotation/$</t>
  </si>
  <si>
    <t xml:space="preserve">Remark</t>
  </si>
  <si>
    <t xml:space="preserve">TemporalBadge</t>
  </si>
  <si>
    <t xml:space="preserve">85.5*70mm</t>
  </si>
  <si>
    <t xml:space="preserve">Lead free HASL</t>
  </si>
  <si>
    <t xml:space="preserve">Matte Black</t>
  </si>
  <si>
    <t xml:space="preserve">White</t>
  </si>
  <si>
    <t xml:space="preserve">1oz</t>
  </si>
  <si>
    <t xml:space="preserve">FR4 material</t>
  </si>
  <si>
    <t xml:space="preserve">Stencil</t>
  </si>
  <si>
    <t xml:space="preserve">for soldering</t>
  </si>
  <si>
    <t xml:space="preserve">Total:</t>
  </si>
  <si>
    <t xml:space="preserve">For PCB Assembly</t>
  </si>
  <si>
    <t xml:space="preserve">Specifications</t>
  </si>
  <si>
    <t xml:space="preserve">Qty of boards</t>
  </si>
  <si>
    <t xml:space="preserve">Discount</t>
  </si>
  <si>
    <t xml:space="preserve">Unique Parts</t>
  </si>
  <si>
    <t xml:space="preserve">40% OFF</t>
  </si>
  <si>
    <t xml:space="preserve">Number of Components</t>
  </si>
  <si>
    <t xml:space="preserve">SMD pads</t>
  </si>
  <si>
    <t xml:space="preserve">THT pads</t>
  </si>
  <si>
    <t xml:space="preserve">Components</t>
  </si>
  <si>
    <t xml:space="preserve">Unit Price</t>
  </si>
  <si>
    <t xml:space="preserve">for 2500pcs</t>
  </si>
  <si>
    <t xml:space="preserve">3D</t>
  </si>
  <si>
    <t xml:space="preserve">Flashing&amp;Testing</t>
  </si>
  <si>
    <t xml:space="preserve">Price</t>
  </si>
  <si>
    <t xml:space="preserve">no testing</t>
  </si>
  <si>
    <t xml:space="preserve">We probably will want flashing, we'll send firmware</t>
  </si>
  <si>
    <t xml:space="preserve">Shipping</t>
  </si>
  <si>
    <t xml:space="preserve">Products</t>
  </si>
  <si>
    <t xml:space="preserve">Shipping Method</t>
  </si>
  <si>
    <t xml:space="preserve">Weight/kg</t>
  </si>
  <si>
    <t xml:space="preserve">PCBAs</t>
  </si>
  <si>
    <t xml:space="preserve">DHL</t>
  </si>
  <si>
    <t xml:space="preserve">160kg</t>
  </si>
  <si>
    <t xml:space="preserve">Original quote</t>
  </si>
  <si>
    <t xml:space="preserve">Discount quote</t>
  </si>
  <si>
    <t xml:space="preserve">Total amount (USD)</t>
  </si>
  <si>
    <t xml:space="preserve">Note: </t>
  </si>
  <si>
    <t xml:space="preserve">1.The price for the components we quoted you with 'N' in Bom list, means that we will use the substitute.</t>
  </si>
  <si>
    <t xml:space="preserve">2. The lead time will be 3-4 weeks after your order confirmed.</t>
  </si>
  <si>
    <t xml:space="preserve">3. Please check if the MPN we selected is ok or not (see the NOTE in the bom)</t>
  </si>
  <si>
    <t xml:space="preserve">If you have any question or if you need to make any update, pls contact me via email: service10@elecrow.com</t>
  </si>
  <si>
    <t xml:space="preserve">#</t>
  </si>
  <si>
    <t xml:space="preserve">Designator</t>
  </si>
  <si>
    <t xml:space="preserve">Footprint</t>
  </si>
  <si>
    <t xml:space="preserve">Value</t>
  </si>
  <si>
    <t xml:space="preserve">LCSC Part #</t>
  </si>
  <si>
    <t xml:space="preserve">Quantity</t>
  </si>
  <si>
    <t xml:space="preserve">SMT</t>
  </si>
  <si>
    <t xml:space="preserve">THT</t>
  </si>
  <si>
    <t xml:space="preserve">Original</t>
  </si>
  <si>
    <t xml:space="preserve">MPN</t>
  </si>
  <si>
    <t xml:space="preserve">Unit Price (2500pcs)</t>
  </si>
  <si>
    <t xml:space="preserve">Total Price (2500pcs)</t>
  </si>
  <si>
    <t xml:space="preserve">Elecrow Note</t>
  </si>
  <si>
    <t xml:space="preserve">Customer reply</t>
  </si>
  <si>
    <t xml:space="preserve">C1, C40, C41</t>
  </si>
  <si>
    <t xml:space="preserve">0402</t>
  </si>
  <si>
    <t xml:space="preserve">22uF</t>
  </si>
  <si>
    <t xml:space="preserve">C3845593</t>
  </si>
  <si>
    <t xml:space="preserve">N</t>
  </si>
  <si>
    <t xml:space="preserve">GRM158R61A226ME15D</t>
  </si>
  <si>
    <t xml:space="preserve">C1-1, C1-2, C1-3, C1-4, C1-5, C1-6, C1-7, C1-8, C2-1, C2-2, C2-3, C2-4, C2-5, C2-6, C2-7, C2-8, C3-1, C3-2, C3-3, C3-4, C3-5, C3-6, C3-7, C3-8, C4-1, C4-2, C4-3, C4-4, C4-5, C4-6, C4-7, C4-8, C5-1, C5-2, C5-3, C5-4, C5-5, C5-6, C5-7, C5-8, C6-1, C6-2, C6-3, C6-4, C6-5, C6-6, C6-7, C6-8, C7-1, C7-2, C7-3, C7-4, C7-5, C7-6, C7-7, C7-8, C8-1, C8-2, C8-3, C8-4, C8-5, C8-6, C8-7, C8-8</t>
  </si>
  <si>
    <t xml:space="preserve">0603</t>
  </si>
  <si>
    <t xml:space="preserve">LED0603_NOOUTLINE</t>
  </si>
  <si>
    <t xml:space="preserve">C19171390</t>
  </si>
  <si>
    <t xml:space="preserve">YLED0603R</t>
  </si>
  <si>
    <t xml:space="preserve">C10, C17, C8, C9, C22</t>
  </si>
  <si>
    <t xml:space="preserve">4.7uF</t>
  </si>
  <si>
    <t xml:space="preserve">C315248</t>
  </si>
  <si>
    <t xml:space="preserve">CL05A106MP5NUNC</t>
  </si>
  <si>
    <t xml:space="preserve">C11, C12, C14, C2, C37</t>
  </si>
  <si>
    <t xml:space="preserve">100nF</t>
  </si>
  <si>
    <t xml:space="preserve">C1525</t>
  </si>
  <si>
    <t xml:space="preserve">CL05B104KO5NNNC</t>
  </si>
  <si>
    <t xml:space="preserve">C13, C18, C27</t>
  </si>
  <si>
    <t xml:space="preserve">10uF</t>
  </si>
  <si>
    <t xml:space="preserve">C5, C15, C25, C26, C33</t>
  </si>
  <si>
    <t xml:space="preserve">1uF</t>
  </si>
  <si>
    <t xml:space="preserve">C14445</t>
  </si>
  <si>
    <t xml:space="preserve">CL05A105KP5NNNC</t>
  </si>
  <si>
    <t xml:space="preserve">C24</t>
  </si>
  <si>
    <t xml:space="preserve">DNP</t>
  </si>
  <si>
    <t xml:space="preserve">OLED RC Delay</t>
  </si>
  <si>
    <t xml:space="preserve">C16, C19, C20, C21, C3, C4, C6</t>
  </si>
  <si>
    <t xml:space="preserve">0.1uF</t>
  </si>
  <si>
    <t xml:space="preserve">C23, C38</t>
  </si>
  <si>
    <t xml:space="preserve">22pF</t>
  </si>
  <si>
    <t xml:space="preserve">C76960</t>
  </si>
  <si>
    <t xml:space="preserve">GRM1555C1H220JA01D</t>
  </si>
  <si>
    <t xml:space="preserve">D1, D3, D4, D5, D8, D9</t>
  </si>
  <si>
    <t xml:space="preserve">D_SOD-523</t>
  </si>
  <si>
    <t xml:space="preserve">D_Schottky</t>
  </si>
  <si>
    <t xml:space="preserve">C917006</t>
  </si>
  <si>
    <t xml:space="preserve">1N4148WT</t>
  </si>
  <si>
    <t xml:space="preserve">D6</t>
  </si>
  <si>
    <t xml:space="preserve">D10</t>
  </si>
  <si>
    <t xml:space="preserve">SOT-143</t>
  </si>
  <si>
    <t xml:space="preserve">PRTR5V0U2X</t>
  </si>
  <si>
    <t xml:space="preserve">C5180302</t>
  </si>
  <si>
    <t xml:space="preserve">Y</t>
  </si>
  <si>
    <t xml:space="preserve">PRTR5V0U2X-ES</t>
  </si>
  <si>
    <t xml:space="preserve">D12</t>
  </si>
  <si>
    <t xml:space="preserve">D_SOD-123F</t>
  </si>
  <si>
    <t xml:space="preserve">DSS24</t>
  </si>
  <si>
    <t xml:space="preserve">C511865</t>
  </si>
  <si>
    <t xml:space="preserve">D14, D15</t>
  </si>
  <si>
    <t xml:space="preserve">vsmy14940</t>
  </si>
  <si>
    <t xml:space="preserve">VSMY14940</t>
  </si>
  <si>
    <t xml:space="preserve">C511069</t>
  </si>
  <si>
    <t xml:space="preserve">J1</t>
  </si>
  <si>
    <t xml:space="preserve">USB_C_Receptacle_Palconn_UTC16-G</t>
  </si>
  <si>
    <t xml:space="preserve">USB C 2.0</t>
  </si>
  <si>
    <t xml:space="preserve">C2765186</t>
  </si>
  <si>
    <t xml:space="preserve">TYPE-C 16PIN 2MD(073)</t>
  </si>
  <si>
    <t xml:space="preserve">J6</t>
  </si>
  <si>
    <t xml:space="preserve">JST_SH_SM04B-SRSS-TB_1x04-1MP_P1.00mm_Horizontal</t>
  </si>
  <si>
    <t xml:space="preserve">I2C</t>
  </si>
  <si>
    <t xml:space="preserve">SM04B-SRSS-TB(LF)(SN)</t>
  </si>
  <si>
    <t xml:space="preserve">J2</t>
  </si>
  <si>
    <t xml:space="preserve">PinSocket_1x04_P2.54mm_Vertical</t>
  </si>
  <si>
    <t xml:space="preserve">J3</t>
  </si>
  <si>
    <t xml:space="preserve">JST_PH_S2B-PH-SM4-TB_1x02-1MP_P2.00mm_Horizontal</t>
  </si>
  <si>
    <t xml:space="preserve">JST PH</t>
  </si>
  <si>
    <t xml:space="preserve">C295747</t>
  </si>
  <si>
    <t xml:space="preserve">S2B-PH-SM4-TB(LF)(SN)</t>
  </si>
  <si>
    <t xml:space="preserve">J5</t>
  </si>
  <si>
    <t xml:space="preserve">UART</t>
  </si>
  <si>
    <t xml:space="preserve">L1</t>
  </si>
  <si>
    <t xml:space="preserve">L_APV_APH0530</t>
  </si>
  <si>
    <t xml:space="preserve">10uh</t>
  </si>
  <si>
    <t xml:space="preserve">C181721</t>
  </si>
  <si>
    <t xml:space="preserve">SMMS0530-100M</t>
  </si>
  <si>
    <t xml:space="preserve">L5</t>
  </si>
  <si>
    <t xml:space="preserve">L_Coilcraft_LPS3010</t>
  </si>
  <si>
    <t xml:space="preserve">2.2uh</t>
  </si>
  <si>
    <t xml:space="preserve">C2926400</t>
  </si>
  <si>
    <t xml:space="preserve">YHNR4020-2R2M</t>
  </si>
  <si>
    <t xml:space="preserve">M1</t>
  </si>
  <si>
    <t xml:space="preserve">Vybronics_VZ30C1T8219732L</t>
  </si>
  <si>
    <t xml:space="preserve">Z3OC1T8219731</t>
  </si>
  <si>
    <t xml:space="preserve">Q1, Q3</t>
  </si>
  <si>
    <t xml:space="preserve">SOT-23</t>
  </si>
  <si>
    <t xml:space="preserve">DMN2058U</t>
  </si>
  <si>
    <t xml:space="preserve">C461001</t>
  </si>
  <si>
    <t xml:space="preserve">DMN2058U-7</t>
  </si>
  <si>
    <t xml:space="preserve">Q2</t>
  </si>
  <si>
    <t xml:space="preserve">MMBT3904</t>
  </si>
  <si>
    <t xml:space="preserve">C916374</t>
  </si>
  <si>
    <t xml:space="preserve">R1, R2, R3, R4, R5, R29, R49, R51</t>
  </si>
  <si>
    <t xml:space="preserve">C106231</t>
  </si>
  <si>
    <t xml:space="preserve">RC0402FR-070RL</t>
  </si>
  <si>
    <t xml:space="preserve">Please confirm the resistance value of this item.</t>
  </si>
  <si>
    <t xml:space="preserve">Correct Value</t>
  </si>
  <si>
    <t xml:space="preserve">R48, R50, R52</t>
  </si>
  <si>
    <t xml:space="preserve">R10, R9</t>
  </si>
  <si>
    <t xml:space="preserve">5.1K</t>
  </si>
  <si>
    <t xml:space="preserve">C25905</t>
  </si>
  <si>
    <t xml:space="preserve">0402WGF5101TCE</t>
  </si>
  <si>
    <t xml:space="preserve">R11, R15, R24</t>
  </si>
  <si>
    <t xml:space="preserve">150K</t>
  </si>
  <si>
    <t xml:space="preserve">C93947</t>
  </si>
  <si>
    <t xml:space="preserve">RC0402FR-07150KL</t>
  </si>
  <si>
    <t xml:space="preserve">R12, R31, R41, R42</t>
  </si>
  <si>
    <t xml:space="preserve">1K</t>
  </si>
  <si>
    <t xml:space="preserve">C106235</t>
  </si>
  <si>
    <t xml:space="preserve">RC0402FR-071KL</t>
  </si>
  <si>
    <t xml:space="preserve">R14, R22</t>
  </si>
  <si>
    <t xml:space="preserve">680K</t>
  </si>
  <si>
    <t xml:space="preserve">C163456</t>
  </si>
  <si>
    <t xml:space="preserve">RC0402FR-07680KL</t>
  </si>
  <si>
    <t xml:space="preserve">R6, R16, R17, R18, R21, R26, R28, R32, R38, R45</t>
  </si>
  <si>
    <t xml:space="preserve">10K</t>
  </si>
  <si>
    <t xml:space="preserve">C60490</t>
  </si>
  <si>
    <t xml:space="preserve">RC0402FR-0710KL</t>
  </si>
  <si>
    <t xml:space="preserve">R30, R34, R35</t>
  </si>
  <si>
    <t xml:space="preserve">R19, R20</t>
  </si>
  <si>
    <t xml:space="preserve">1.8K</t>
  </si>
  <si>
    <t xml:space="preserve">C163481</t>
  </si>
  <si>
    <t xml:space="preserve">RC0402FR-071K8L</t>
  </si>
  <si>
    <t xml:space="preserve">R23, R25</t>
  </si>
  <si>
    <t xml:space="preserve">100K</t>
  </si>
  <si>
    <t xml:space="preserve">C60491</t>
  </si>
  <si>
    <t xml:space="preserve">RC0402FR-07100KL</t>
  </si>
  <si>
    <t xml:space="preserve">R27</t>
  </si>
  <si>
    <t xml:space="preserve">C105875</t>
  </si>
  <si>
    <t xml:space="preserve">RC0402FR-07330RL</t>
  </si>
  <si>
    <t xml:space="preserve">R33, R39</t>
  </si>
  <si>
    <t xml:space="preserve">C138054</t>
  </si>
  <si>
    <t xml:space="preserve">RC0402FR-07150RL</t>
  </si>
  <si>
    <t xml:space="preserve">R36, R37</t>
  </si>
  <si>
    <t xml:space="preserve">0805</t>
  </si>
  <si>
    <t xml:space="preserve">C2933380</t>
  </si>
  <si>
    <t xml:space="preserve">FRC0805F24R0TS</t>
  </si>
  <si>
    <t xml:space="preserve">Please confirm the packaging of this item.</t>
  </si>
  <si>
    <t xml:space="preserve">R40</t>
  </si>
  <si>
    <t xml:space="preserve">C138066</t>
  </si>
  <si>
    <t xml:space="preserve">RC0402FR-0710RL</t>
  </si>
  <si>
    <t xml:space="preserve">R43</t>
  </si>
  <si>
    <t xml:space="preserve">1.1M</t>
  </si>
  <si>
    <t xml:space="preserve">C49254096</t>
  </si>
  <si>
    <t xml:space="preserve">CL0402FN1M1P</t>
  </si>
  <si>
    <t xml:space="preserve">R44</t>
  </si>
  <si>
    <t xml:space="preserve">120K</t>
  </si>
  <si>
    <t xml:space="preserve">C93945</t>
  </si>
  <si>
    <t xml:space="preserve">RC0402FR-07120KL</t>
  </si>
  <si>
    <t xml:space="preserve">R47</t>
  </si>
  <si>
    <t xml:space="preserve">910K</t>
  </si>
  <si>
    <t xml:space="preserve">C3921007</t>
  </si>
  <si>
    <t xml:space="preserve">RE0402BRE07910KL</t>
  </si>
  <si>
    <t xml:space="preserve">R7, R8</t>
  </si>
  <si>
    <t xml:space="preserve">4.7K</t>
  </si>
  <si>
    <t xml:space="preserve">C105871</t>
  </si>
  <si>
    <t xml:space="preserve">RC0402FR-074K7L</t>
  </si>
  <si>
    <t xml:space="preserve">SW1</t>
  </si>
  <si>
    <t xml:space="preserve">SW_SPST_B3U-1000P-B</t>
  </si>
  <si>
    <t xml:space="preserve">Reset</t>
  </si>
  <si>
    <t xml:space="preserve"> C231329 </t>
  </si>
  <si>
    <t xml:space="preserve">B3U-1000P</t>
  </si>
  <si>
    <t xml:space="preserve">SW4, SW5, SW6, SW7</t>
  </si>
  <si>
    <t xml:space="preserve">SW_Push_1TS009xxxx-xxxx-xxxx_6x6x5mm</t>
  </si>
  <si>
    <t xml:space="preserve">SW_Push</t>
  </si>
  <si>
    <t xml:space="preserve">C25168849</t>
  </si>
  <si>
    <t xml:space="preserve">HX 6x6x4.3WS</t>
  </si>
  <si>
    <t xml:space="preserve">U1</t>
  </si>
  <si>
    <t xml:space="preserve">LGA-12_2x2mm_P0.5mm</t>
  </si>
  <si>
    <t xml:space="preserve">ST LIS2DH12TR</t>
  </si>
  <si>
    <t xml:space="preserve">C110926</t>
  </si>
  <si>
    <t xml:space="preserve">LIS2DH12TR</t>
  </si>
  <si>
    <t xml:space="preserve">U10</t>
  </si>
  <si>
    <t xml:space="preserve">SOT-23-5</t>
  </si>
  <si>
    <t xml:space="preserve">SY8089</t>
  </si>
  <si>
    <t xml:space="preserve">C79313</t>
  </si>
  <si>
    <t xml:space="preserve">SY8088AAC</t>
  </si>
  <si>
    <t xml:space="preserve">U2</t>
  </si>
  <si>
    <t xml:space="preserve">VQFN-16-1EP_3x3mm_P0.5mm_EP1.6x1.6mm</t>
  </si>
  <si>
    <t xml:space="preserve">BQ24079RGT</t>
  </si>
  <si>
    <t xml:space="preserve">C2876751</t>
  </si>
  <si>
    <t xml:space="preserve">BQ24079QWRGTRQ1</t>
  </si>
  <si>
    <t xml:space="preserve">U3</t>
  </si>
  <si>
    <t xml:space="preserve">ESP32-S3-WROOM-1</t>
  </si>
  <si>
    <t xml:space="preserve">C2913202</t>
  </si>
  <si>
    <t xml:space="preserve">ESP32-S3-WROOM-1-N16R8</t>
  </si>
  <si>
    <t xml:space="preserve">U4</t>
  </si>
  <si>
    <t xml:space="preserve">QFN-28-1EP_4x4mm_P0.4mm_EP2.3x2.3mm</t>
  </si>
  <si>
    <t xml:space="preserve">IS31FL3731-QF</t>
  </si>
  <si>
    <t xml:space="preserve">C191206</t>
  </si>
  <si>
    <t xml:space="preserve">IS31FL3731-QFLS2-TR</t>
  </si>
  <si>
    <t xml:space="preserve">U5</t>
  </si>
  <si>
    <t xml:space="preserve">TE_2-1734839-4_1x24-1MP_P0.5mm_Horizontal</t>
  </si>
  <si>
    <t xml:space="preserve">24P FPC 0.5MM</t>
  </si>
  <si>
    <t xml:space="preserve">2-1734839-4</t>
  </si>
  <si>
    <t xml:space="preserve">U6</t>
  </si>
  <si>
    <t xml:space="preserve">JOYSTICK_ANALOG_MINITHM</t>
  </si>
  <si>
    <t xml:space="preserve">p2765</t>
  </si>
  <si>
    <t xml:space="preserve">？？</t>
  </si>
  <si>
    <t xml:space="preserve">The current price is an estimate, including the cap.You can advice supplier who has the JOYSTICK with cap</t>
  </si>
  <si>
    <t xml:space="preserve">U7</t>
  </si>
  <si>
    <t xml:space="preserve">TPS61040DBV</t>
  </si>
  <si>
    <t xml:space="preserve">C9846</t>
  </si>
  <si>
    <t xml:space="preserve">TPS61041DBVR</t>
  </si>
  <si>
    <t xml:space="preserve">U8</t>
  </si>
  <si>
    <t xml:space="preserve">TSOP753</t>
  </si>
  <si>
    <t xml:space="preserve">TSOP75338</t>
  </si>
  <si>
    <t xml:space="preserve">C6561231</t>
  </si>
  <si>
    <t xml:space="preserve">TSOP75338TR</t>
  </si>
  <si>
    <t xml:space="preserve">If you can find TSOP75538TR, (higher AGC setting C5966823) version, please use that. Side packed TR version is correct, we'd like it facing horizontally pointing toward the edge of the board (I think it's rotated 180 degrees in the current PCB)</t>
  </si>
  <si>
    <t xml:space="preserve">Y1</t>
  </si>
  <si>
    <t xml:space="preserve">Crystal_SMD_3215-2Pin_3.2x1.5mm</t>
  </si>
  <si>
    <t xml:space="preserve">32.768KHz</t>
  </si>
  <si>
    <t xml:space="preserve">C97606</t>
  </si>
  <si>
    <t xml:space="preserve">SC-32S32.768kHz20PPM12.5pF</t>
  </si>
  <si>
    <t xml:space="preserve">显示屏</t>
  </si>
  <si>
    <t xml:space="preserve">128x64 OLED Screen Module 2.42 Inch OLED Display SSD1309(KWH0242UL01)</t>
  </si>
  <si>
    <t xml:space="preserve">KWH0242UL01</t>
  </si>
  <si>
    <t xml:space="preserve">We would like these adhesive taped to the front.</t>
  </si>
  <si>
    <r>
      <rPr>
        <sz val="11"/>
        <color theme="1"/>
        <rFont val="Noto Sans CJK SC"/>
        <family val="2"/>
      </rPr>
      <t xml:space="preserve">锂电池  </t>
    </r>
    <r>
      <rPr>
        <sz val="11"/>
        <color theme="1"/>
        <rFont val="等线"/>
        <family val="0"/>
        <charset val="134"/>
      </rPr>
      <t xml:space="preserve">1000mAh</t>
    </r>
    <r>
      <rPr>
        <sz val="11"/>
        <color theme="1"/>
        <rFont val="Noto Sans CJK SC"/>
        <family val="2"/>
      </rPr>
      <t xml:space="preserve">（</t>
    </r>
    <r>
      <rPr>
        <sz val="11"/>
        <color theme="1"/>
        <rFont val="等线"/>
        <family val="0"/>
        <charset val="134"/>
      </rPr>
      <t xml:space="preserve">60*34*50</t>
    </r>
    <r>
      <rPr>
        <sz val="11"/>
        <color theme="1"/>
        <rFont val="Noto Sans CJK SC"/>
        <family val="2"/>
      </rPr>
      <t xml:space="preserve">） 带板电线带连接头</t>
    </r>
    <r>
      <rPr>
        <sz val="11"/>
        <color theme="1"/>
        <rFont val="等线"/>
        <family val="0"/>
        <charset val="134"/>
      </rPr>
      <t xml:space="preserve">2.0</t>
    </r>
    <r>
      <rPr>
        <sz val="11"/>
        <color theme="1"/>
        <rFont val="Noto Sans CJK SC"/>
        <family val="2"/>
      </rPr>
      <t xml:space="preserve">间距正向端子</t>
    </r>
  </si>
  <si>
    <r>
      <rPr>
        <sz val="11"/>
        <color theme="1"/>
        <rFont val="Noto Sans CJK SC"/>
        <family val="2"/>
      </rPr>
      <t xml:space="preserve">锂电池  </t>
    </r>
    <r>
      <rPr>
        <sz val="11"/>
        <color theme="1"/>
        <rFont val="等线"/>
        <family val="0"/>
        <charset val="134"/>
      </rPr>
      <t xml:space="preserve">1000mAh</t>
    </r>
    <r>
      <rPr>
        <sz val="11"/>
        <color theme="1"/>
        <rFont val="Noto Sans CJK SC"/>
        <family val="2"/>
      </rPr>
      <t xml:space="preserve">（</t>
    </r>
    <r>
      <rPr>
        <sz val="11"/>
        <color theme="1"/>
        <rFont val="等线"/>
        <family val="0"/>
        <charset val="134"/>
      </rPr>
      <t xml:space="preserve">60*34*50</t>
    </r>
    <r>
      <rPr>
        <sz val="11"/>
        <color theme="1"/>
        <rFont val="Noto Sans CJK SC"/>
        <family val="2"/>
      </rPr>
      <t xml:space="preserve">）</t>
    </r>
  </si>
  <si>
    <t xml:space="preserve">Black resin</t>
  </si>
</sst>
</file>

<file path=xl/styles.xml><?xml version="1.0" encoding="utf-8"?>
<styleSheet xmlns="http://schemas.openxmlformats.org/spreadsheetml/2006/main">
  <numFmts count="11">
    <numFmt numFmtId="164" formatCode="General"/>
    <numFmt numFmtId="165" formatCode="0_);[RED]\(0\)"/>
    <numFmt numFmtId="166" formatCode="[$-409]d/mmm;@"/>
    <numFmt numFmtId="167" formatCode="0.0_);[RED]\(0.0\)"/>
    <numFmt numFmtId="168" formatCode="\$#,##0.00_);[RED]&quot;($&quot;#,##0.00\)"/>
    <numFmt numFmtId="169" formatCode="\$#,##0.00;&quot;-$&quot;#,##0.00"/>
    <numFmt numFmtId="170" formatCode="0.000_);[RED]\(0.000\)"/>
    <numFmt numFmtId="171" formatCode="0.00_);[RED]\(0.00\)"/>
    <numFmt numFmtId="172" formatCode="0.00_ ;[RED]\-0.00\ "/>
    <numFmt numFmtId="173" formatCode="\$#,##0.00;[RED]\$#,##0.00"/>
    <numFmt numFmtId="174" formatCode="&quot;US$&quot;#,##0.00;[RED]&quot;US$&quot;#,##0.00"/>
  </numFmts>
  <fonts count="29">
    <font>
      <sz val="11"/>
      <color theme="1"/>
      <name val="Calibri"/>
      <family val="0"/>
      <charset val="134"/>
    </font>
    <font>
      <sz val="10"/>
      <name val="Arial"/>
      <family val="0"/>
    </font>
    <font>
      <sz val="10"/>
      <name val="Arial"/>
      <family val="0"/>
    </font>
    <font>
      <sz val="10"/>
      <name val="Arial"/>
      <family val="0"/>
    </font>
    <font>
      <sz val="11"/>
      <color rgb="FF000000"/>
      <name val="Tahoma"/>
      <family val="0"/>
      <charset val="134"/>
    </font>
    <font>
      <b val="true"/>
      <sz val="24"/>
      <color rgb="FF000000"/>
      <name val="Arial"/>
      <family val="0"/>
      <charset val="134"/>
    </font>
    <font>
      <sz val="11"/>
      <color rgb="FF000000"/>
      <name val="Arial"/>
      <family val="0"/>
      <charset val="134"/>
    </font>
    <font>
      <b val="true"/>
      <sz val="11"/>
      <color rgb="FF000000"/>
      <name val="Arial"/>
      <family val="0"/>
      <charset val="134"/>
    </font>
    <font>
      <b val="true"/>
      <sz val="11"/>
      <name val="Arial"/>
      <family val="0"/>
      <charset val="134"/>
    </font>
    <font>
      <sz val="11"/>
      <name val="Arial"/>
      <family val="0"/>
      <charset val="134"/>
    </font>
    <font>
      <u val="single"/>
      <sz val="11"/>
      <color rgb="FF0000FF"/>
      <name val="Calibri"/>
      <family val="0"/>
      <charset val="1"/>
    </font>
    <font>
      <u val="single"/>
      <sz val="11"/>
      <color rgb="FF0000FF"/>
      <name val="Arial"/>
      <family val="0"/>
      <charset val="134"/>
    </font>
    <font>
      <sz val="11"/>
      <color rgb="FFFF0000"/>
      <name val="Arial"/>
      <family val="0"/>
      <charset val="134"/>
    </font>
    <font>
      <sz val="11"/>
      <color rgb="FFFF0000"/>
      <name val="宋体"/>
      <family val="0"/>
      <charset val="134"/>
    </font>
    <font>
      <b val="true"/>
      <sz val="11"/>
      <color rgb="FFFF0000"/>
      <name val="Arial"/>
      <family val="0"/>
      <charset val="134"/>
    </font>
    <font>
      <sz val="12"/>
      <color theme="1"/>
      <name val="等线"/>
      <family val="0"/>
      <charset val="134"/>
    </font>
    <font>
      <b val="true"/>
      <sz val="11"/>
      <color rgb="FFFF0000"/>
      <name val="等线"/>
      <family val="0"/>
      <charset val="134"/>
    </font>
    <font>
      <sz val="11"/>
      <color rgb="FF7030A0"/>
      <name val="Arial"/>
      <family val="2"/>
      <charset val="1"/>
    </font>
    <font>
      <b val="true"/>
      <sz val="18"/>
      <color rgb="FFFF0000"/>
      <name val="Arial"/>
      <family val="0"/>
      <charset val="134"/>
    </font>
    <font>
      <sz val="11"/>
      <color theme="1"/>
      <name val="等线"/>
      <family val="0"/>
      <charset val="134"/>
    </font>
    <font>
      <sz val="11"/>
      <name val="等线"/>
      <family val="0"/>
      <charset val="134"/>
    </font>
    <font>
      <b val="true"/>
      <sz val="11"/>
      <name val="等线"/>
      <family val="0"/>
      <charset val="1"/>
    </font>
    <font>
      <sz val="11"/>
      <color theme="1"/>
      <name val="等线"/>
      <family val="4"/>
      <charset val="134"/>
    </font>
    <font>
      <sz val="11"/>
      <color theme="1"/>
      <name val="等线"/>
      <family val="0"/>
    </font>
    <font>
      <sz val="11"/>
      <color rgb="FFFF0000"/>
      <name val="等线"/>
      <family val="0"/>
      <charset val="134"/>
    </font>
    <font>
      <sz val="11"/>
      <color rgb="FF7030A0"/>
      <name val="等线"/>
      <family val="4"/>
      <charset val="134"/>
    </font>
    <font>
      <b val="true"/>
      <sz val="11"/>
      <color rgb="FF7030A0"/>
      <name val="等线"/>
      <family val="4"/>
      <charset val="134"/>
    </font>
    <font>
      <sz val="11"/>
      <color rgb="FFFF0000"/>
      <name val="Noto Sans CJK SC"/>
      <family val="2"/>
    </font>
    <font>
      <sz val="11"/>
      <color theme="1"/>
      <name val="Noto Sans CJK SC"/>
      <family val="2"/>
    </font>
  </fonts>
  <fills count="6">
    <fill>
      <patternFill patternType="none"/>
    </fill>
    <fill>
      <patternFill patternType="gray125"/>
    </fill>
    <fill>
      <patternFill patternType="solid">
        <fgColor rgb="FF92D050"/>
        <bgColor rgb="FFA6A6A6"/>
      </patternFill>
    </fill>
    <fill>
      <patternFill patternType="solid">
        <fgColor rgb="FFA6A6A6"/>
        <bgColor rgb="FFC0C0C0"/>
      </patternFill>
    </fill>
    <fill>
      <patternFill patternType="solid">
        <fgColor rgb="FFFFFFFF"/>
        <bgColor rgb="FFFFFFCC"/>
      </patternFill>
    </fill>
    <fill>
      <patternFill patternType="solid">
        <fgColor rgb="FFFFFF00"/>
        <bgColor rgb="FFFFFF00"/>
      </patternFill>
    </fill>
  </fills>
  <borders count="7">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right style="thin"/>
      <top/>
      <bottom/>
      <diagonal/>
    </border>
    <border diagonalUp="false" diagonalDown="false">
      <left/>
      <right/>
      <top/>
      <bottom style="thin"/>
      <diagonal/>
    </border>
    <border diagonalUp="false" diagonalDown="false">
      <left style="thin"/>
      <right/>
      <top style="thin"/>
      <bottom style="thin"/>
      <diagonal/>
    </border>
    <border diagonalUp="false" diagonalDown="false">
      <left/>
      <right style="thin"/>
      <top style="thin"/>
      <bottom style="thin"/>
      <diagonal/>
    </border>
  </borders>
  <cellStyleXfs count="21">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0" borderId="0" applyFont="true" applyBorder="true" applyAlignment="true" applyProtection="true">
      <alignment horizontal="general" vertical="center" textRotation="0" wrapText="false" indent="0" shrinkToFit="false"/>
      <protection locked="true" hidden="false"/>
    </xf>
  </cellStyleXfs>
  <cellXfs count="109">
    <xf numFmtId="164" fontId="0" fillId="0" borderId="0" xfId="0" applyFont="false" applyBorder="false" applyAlignment="false" applyProtection="false">
      <alignment horizontal="general" vertical="center" textRotation="0" wrapText="false" indent="0" shrinkToFit="false"/>
      <protection locked="true" hidden="false"/>
    </xf>
    <xf numFmtId="165" fontId="4" fillId="0" borderId="0" xfId="0" applyFont="true" applyBorder="false" applyAlignment="true" applyProtection="false">
      <alignment horizontal="center" vertical="center" textRotation="0" wrapText="false" indent="0" shrinkToFit="false"/>
      <protection locked="true" hidden="false"/>
    </xf>
    <xf numFmtId="165" fontId="4" fillId="0" borderId="0" xfId="0" applyFont="true" applyBorder="false" applyAlignment="true" applyProtection="false">
      <alignment horizontal="general" vertical="center" textRotation="0" wrapText="false" indent="0" shrinkToFit="false"/>
      <protection locked="true" hidden="false"/>
    </xf>
    <xf numFmtId="165" fontId="5" fillId="0" borderId="0" xfId="0" applyFont="true" applyBorder="true" applyAlignment="true" applyProtection="false">
      <alignment horizontal="center" vertical="center" textRotation="0" wrapText="false" indent="0" shrinkToFit="false"/>
      <protection locked="true" hidden="false"/>
    </xf>
    <xf numFmtId="165" fontId="6" fillId="0" borderId="0" xfId="0" applyFont="true" applyBorder="false" applyAlignment="true" applyProtection="false">
      <alignment horizontal="general" vertical="center" textRotation="0" wrapText="false" indent="0" shrinkToFit="false"/>
      <protection locked="true" hidden="false"/>
    </xf>
    <xf numFmtId="165" fontId="7" fillId="0" borderId="0" xfId="0" applyFont="true" applyBorder="false" applyAlignment="true" applyProtection="false">
      <alignment horizontal="center" vertical="center" textRotation="0" wrapText="false" indent="0" shrinkToFit="false"/>
      <protection locked="true" hidden="false"/>
    </xf>
    <xf numFmtId="165" fontId="8" fillId="0" borderId="0" xfId="0" applyFont="true" applyBorder="false" applyAlignment="true" applyProtection="false">
      <alignment horizontal="left" vertical="center" textRotation="0" wrapText="false" indent="0" shrinkToFit="false"/>
      <protection locked="true" hidden="false"/>
    </xf>
    <xf numFmtId="165" fontId="9" fillId="0" borderId="0" xfId="0" applyFont="true" applyBorder="false" applyAlignment="true" applyProtection="false">
      <alignment horizontal="center" vertical="center" textRotation="0" wrapText="false" indent="0" shrinkToFit="false"/>
      <protection locked="true" hidden="false"/>
    </xf>
    <xf numFmtId="166" fontId="8" fillId="0" borderId="0" xfId="0" applyFont="true" applyBorder="false" applyAlignment="true" applyProtection="false">
      <alignment horizontal="general" vertical="center" textRotation="0" wrapText="false" indent="0" shrinkToFit="false"/>
      <protection locked="true" hidden="false"/>
    </xf>
    <xf numFmtId="165" fontId="6" fillId="0" borderId="0" xfId="0" applyFont="true" applyBorder="false" applyAlignment="true" applyProtection="false">
      <alignment horizontal="center" vertical="center" textRotation="0" wrapText="false" indent="0" shrinkToFit="false"/>
      <protection locked="true" hidden="false"/>
    </xf>
    <xf numFmtId="165" fontId="8" fillId="0" borderId="0" xfId="0" applyFont="true" applyBorder="true" applyAlignment="true" applyProtection="false">
      <alignment horizontal="left" vertical="center" textRotation="0" wrapText="false" indent="0" shrinkToFit="false"/>
      <protection locked="true" hidden="false"/>
    </xf>
    <xf numFmtId="165" fontId="6" fillId="0" borderId="0" xfId="0" applyFont="true" applyBorder="false" applyAlignment="true" applyProtection="false">
      <alignment horizontal="general" vertical="center" textRotation="0" wrapText="true" indent="0" shrinkToFit="false"/>
      <protection locked="true" hidden="false"/>
    </xf>
    <xf numFmtId="165" fontId="9" fillId="0" borderId="1" xfId="0" applyFont="true" applyBorder="true" applyAlignment="true" applyProtection="false">
      <alignment horizontal="left" vertical="center" textRotation="0" wrapText="true" indent="0" shrinkToFit="false"/>
      <protection locked="true" hidden="false"/>
    </xf>
    <xf numFmtId="165" fontId="6" fillId="0" borderId="1" xfId="0" applyFont="true" applyBorder="true" applyAlignment="true" applyProtection="false">
      <alignment horizontal="left" vertical="center" textRotation="0" wrapText="true" indent="0" shrinkToFit="false"/>
      <protection locked="true" hidden="false"/>
    </xf>
    <xf numFmtId="165" fontId="6" fillId="0" borderId="0" xfId="0" applyFont="true" applyBorder="false" applyAlignment="true" applyProtection="false">
      <alignment horizontal="left" vertical="center" textRotation="0" wrapText="true" indent="0" shrinkToFit="false"/>
      <protection locked="true" hidden="false"/>
    </xf>
    <xf numFmtId="165" fontId="9" fillId="0" borderId="0" xfId="0" applyFont="true" applyBorder="false" applyAlignment="true" applyProtection="false">
      <alignment horizontal="center" vertical="center" textRotation="0" wrapText="true" indent="0" shrinkToFit="false"/>
      <protection locked="true" hidden="false"/>
    </xf>
    <xf numFmtId="165" fontId="11" fillId="0" borderId="0" xfId="20" applyFont="true" applyBorder="false" applyAlignment="true" applyProtection="false">
      <alignment horizontal="center" vertical="center" textRotation="0" wrapText="false" indent="0" shrinkToFit="false"/>
      <protection locked="true" hidden="false"/>
    </xf>
    <xf numFmtId="166" fontId="8" fillId="0" borderId="0" xfId="0" applyFont="true" applyBorder="false" applyAlignment="true" applyProtection="false">
      <alignment horizontal="left" vertical="center" textRotation="0" wrapText="false" indent="0" shrinkToFit="false"/>
      <protection locked="true" hidden="false"/>
    </xf>
    <xf numFmtId="166" fontId="9" fillId="0" borderId="0" xfId="0" applyFont="true" applyBorder="false" applyAlignment="true" applyProtection="false">
      <alignment horizontal="general" vertical="center" textRotation="0" wrapText="false" indent="0" shrinkToFit="false"/>
      <protection locked="true" hidden="false"/>
    </xf>
    <xf numFmtId="165" fontId="9" fillId="0" borderId="0" xfId="0" applyFont="true" applyBorder="false" applyAlignment="true" applyProtection="false">
      <alignment horizontal="left" vertical="center" textRotation="0" wrapText="false" indent="0" shrinkToFit="false"/>
      <protection locked="true" hidden="false"/>
    </xf>
    <xf numFmtId="165" fontId="9" fillId="0" borderId="0" xfId="20" applyFont="true" applyBorder="false" applyAlignment="true" applyProtection="false">
      <alignment horizontal="center" vertical="center" textRotation="0" wrapText="false" indent="0" shrinkToFit="false"/>
      <protection locked="true" hidden="false"/>
    </xf>
    <xf numFmtId="165" fontId="6" fillId="0" borderId="0" xfId="0" applyFont="true" applyBorder="false" applyAlignment="true" applyProtection="false">
      <alignment horizontal="left" vertical="center" textRotation="0" wrapText="false" indent="0" shrinkToFit="false"/>
      <protection locked="true" hidden="false"/>
    </xf>
    <xf numFmtId="165" fontId="7" fillId="2" borderId="0" xfId="0" applyFont="true" applyBorder="true" applyAlignment="true" applyProtection="false">
      <alignment horizontal="left" vertical="center" textRotation="0" wrapText="false" indent="0" shrinkToFit="false"/>
      <protection locked="true" hidden="false"/>
    </xf>
    <xf numFmtId="165" fontId="6" fillId="3" borderId="1" xfId="0" applyFont="true" applyBorder="true" applyAlignment="true" applyProtection="false">
      <alignment horizontal="center" vertical="center" textRotation="0" wrapText="false" indent="0" shrinkToFit="false"/>
      <protection locked="true" hidden="false"/>
    </xf>
    <xf numFmtId="165" fontId="6" fillId="3" borderId="1" xfId="0" applyFont="true" applyBorder="true" applyAlignment="true" applyProtection="false">
      <alignment horizontal="center" vertical="bottom" textRotation="0" wrapText="false" indent="0" shrinkToFit="false"/>
      <protection locked="true" hidden="false"/>
    </xf>
    <xf numFmtId="165" fontId="6" fillId="0" borderId="2" xfId="0" applyFont="true" applyBorder="true" applyAlignment="true" applyProtection="false">
      <alignment horizontal="center" vertical="center" textRotation="0" wrapText="false" indent="0" shrinkToFit="false"/>
      <protection locked="true" hidden="false"/>
    </xf>
    <xf numFmtId="167" fontId="6" fillId="0" borderId="1" xfId="0" applyFont="true" applyBorder="true" applyAlignment="true" applyProtection="false">
      <alignment horizontal="center" vertical="center" textRotation="0" wrapText="false" indent="0" shrinkToFit="false"/>
      <protection locked="true" hidden="false"/>
    </xf>
    <xf numFmtId="165" fontId="12" fillId="0" borderId="2" xfId="0" applyFont="true" applyBorder="true" applyAlignment="true" applyProtection="false">
      <alignment horizontal="center" vertical="center" textRotation="0" wrapText="false" indent="0" shrinkToFit="false"/>
      <protection locked="true" hidden="false"/>
    </xf>
    <xf numFmtId="165" fontId="9" fillId="0" borderId="2" xfId="0" applyFont="true" applyBorder="true" applyAlignment="true" applyProtection="false">
      <alignment horizontal="center" vertical="center" textRotation="0" wrapText="false" indent="0" shrinkToFit="false"/>
      <protection locked="true" hidden="false"/>
    </xf>
    <xf numFmtId="165" fontId="9" fillId="0" borderId="2"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8" fontId="6" fillId="0" borderId="1" xfId="0" applyFont="true" applyBorder="true" applyAlignment="true" applyProtection="false">
      <alignment horizontal="center" vertical="center" textRotation="0" wrapText="false" indent="0" shrinkToFit="false"/>
      <protection locked="true" hidden="false"/>
    </xf>
    <xf numFmtId="165" fontId="12" fillId="0" borderId="1" xfId="0" applyFont="true" applyBorder="true" applyAlignment="true" applyProtection="false">
      <alignment horizontal="center" vertical="center" textRotation="0" wrapText="false" indent="0" shrinkToFit="false"/>
      <protection locked="true" hidden="false"/>
    </xf>
    <xf numFmtId="165" fontId="13" fillId="0" borderId="0" xfId="0" applyFont="true" applyBorder="false" applyAlignment="true" applyProtection="false">
      <alignment horizontal="general" vertical="center" textRotation="0" wrapText="false" indent="0" shrinkToFit="false"/>
      <protection locked="true" hidden="false"/>
    </xf>
    <xf numFmtId="165" fontId="8" fillId="4" borderId="1" xfId="0" applyFont="true" applyBorder="true" applyAlignment="true" applyProtection="false">
      <alignment horizontal="center" vertical="center" textRotation="0" wrapText="false" indent="0" shrinkToFit="false"/>
      <protection locked="true" hidden="false"/>
    </xf>
    <xf numFmtId="168" fontId="7" fillId="0" borderId="1" xfId="0" applyFont="true" applyBorder="true" applyAlignment="true" applyProtection="false">
      <alignment horizontal="center" vertical="center" textRotation="0" wrapText="false" indent="0" shrinkToFit="false"/>
      <protection locked="true" hidden="false"/>
    </xf>
    <xf numFmtId="165" fontId="14" fillId="0" borderId="0" xfId="0" applyFont="true" applyBorder="false" applyAlignment="true" applyProtection="false">
      <alignment horizontal="center" vertical="center" textRotation="0" wrapText="false" indent="0" shrinkToFit="false"/>
      <protection locked="true" hidden="false"/>
    </xf>
    <xf numFmtId="165" fontId="7" fillId="2" borderId="3" xfId="0" applyFont="true" applyBorder="true" applyAlignment="true" applyProtection="false">
      <alignment horizontal="left" vertical="bottom" textRotation="0" wrapText="false" indent="0" shrinkToFit="false"/>
      <protection locked="true" hidden="false"/>
    </xf>
    <xf numFmtId="165" fontId="6" fillId="0" borderId="0" xfId="0" applyFont="true" applyBorder="false" applyAlignment="true" applyProtection="false">
      <alignment horizontal="center" vertical="bottom" textRotation="0" wrapText="fals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5" fontId="6" fillId="3" borderId="1" xfId="0" applyFont="true" applyBorder="true" applyAlignment="true" applyProtection="true">
      <alignment horizontal="center" vertical="bottom" textRotation="0" wrapText="false" indent="0" shrinkToFit="false"/>
      <protection locked="fals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left" vertical="center" textRotation="0" wrapText="fals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8" fontId="6" fillId="0" borderId="2" xfId="0" applyFont="true" applyBorder="true" applyAlignment="true" applyProtection="false">
      <alignment horizontal="center" vertical="center" textRotation="0" wrapText="false" indent="0" shrinkToFit="false"/>
      <protection locked="true" hidden="false"/>
    </xf>
    <xf numFmtId="168" fontId="14" fillId="0" borderId="2"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true">
      <alignment horizontal="center" vertical="center" textRotation="0" wrapText="true" indent="0" shrinkToFit="false"/>
      <protection locked="false" hidden="false"/>
    </xf>
    <xf numFmtId="165" fontId="7" fillId="0" borderId="0" xfId="0" applyFont="true" applyBorder="false" applyAlignment="true" applyProtection="false">
      <alignment horizontal="general" vertical="center" textRotation="0" wrapText="false" indent="0" shrinkToFit="false"/>
      <protection locked="true" hidden="false"/>
    </xf>
    <xf numFmtId="169" fontId="7" fillId="0" borderId="1" xfId="0" applyFont="true" applyBorder="true" applyAlignment="true" applyProtection="false">
      <alignment horizontal="center" vertical="center" textRotation="0" wrapText="false" indent="0" shrinkToFit="false"/>
      <protection locked="true" hidden="false"/>
    </xf>
    <xf numFmtId="170" fontId="6" fillId="0" borderId="0" xfId="0" applyFont="true" applyBorder="false" applyAlignment="true" applyProtection="false">
      <alignment horizontal="center" vertical="center" textRotation="0" wrapText="false" indent="0" shrinkToFit="false"/>
      <protection locked="true" hidden="false"/>
    </xf>
    <xf numFmtId="171" fontId="6" fillId="0" borderId="0" xfId="0" applyFont="true" applyBorder="false" applyAlignment="true" applyProtection="false">
      <alignment horizontal="center" vertical="center" textRotation="0" wrapText="false" indent="0" shrinkToFit="false"/>
      <protection locked="true" hidden="false"/>
    </xf>
    <xf numFmtId="172" fontId="6" fillId="0" borderId="0" xfId="0" applyFont="true" applyBorder="false" applyAlignment="true" applyProtection="false">
      <alignment horizontal="general" vertical="center" textRotation="0" wrapText="false" indent="0" shrinkToFit="false"/>
      <protection locked="true" hidden="false"/>
    </xf>
    <xf numFmtId="171" fontId="6" fillId="0" borderId="0" xfId="0" applyFont="true" applyBorder="false" applyAlignment="true" applyProtection="false">
      <alignment horizontal="left" vertical="center" textRotation="0" wrapText="false" indent="0" shrinkToFit="false"/>
      <protection locked="true" hidden="false"/>
    </xf>
    <xf numFmtId="165" fontId="6" fillId="2" borderId="4" xfId="0" applyFont="true" applyBorder="true" applyAlignment="true" applyProtection="false">
      <alignment horizontal="left" vertical="bottom" textRotation="0" wrapText="false" indent="0" shrinkToFit="false"/>
      <protection locked="true" hidden="false"/>
    </xf>
    <xf numFmtId="165" fontId="6" fillId="3" borderId="1" xfId="0" applyFont="true" applyBorder="true" applyAlignment="true" applyProtection="false">
      <alignment horizontal="general" vertical="bottom" textRotation="0" wrapText="false" indent="0" shrinkToFit="false"/>
      <protection locked="true" hidden="false"/>
    </xf>
    <xf numFmtId="165" fontId="6" fillId="3" borderId="1" xfId="0" applyFont="true" applyBorder="true" applyAlignment="true" applyProtection="false">
      <alignment horizontal="left" vertical="center"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8" fontId="9" fillId="0" borderId="1" xfId="0" applyFont="true" applyBorder="true" applyAlignment="true" applyProtection="false">
      <alignment horizontal="center" vertical="center" textRotation="0" wrapText="false" indent="0" shrinkToFit="false"/>
      <protection locked="true" hidden="false"/>
    </xf>
    <xf numFmtId="165" fontId="6" fillId="0" borderId="5" xfId="0" applyFont="true" applyBorder="true" applyAlignment="true" applyProtection="false">
      <alignment horizontal="center" vertical="center" textRotation="0" wrapText="false" indent="0" shrinkToFit="false"/>
      <protection locked="true" hidden="false"/>
    </xf>
    <xf numFmtId="165" fontId="6" fillId="0" borderId="6"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8" fontId="14" fillId="0" borderId="1" xfId="0" applyFont="true" applyBorder="true" applyAlignment="true" applyProtection="false">
      <alignment horizontal="center" vertical="center" textRotation="0" wrapText="false" indent="0" shrinkToFit="false"/>
      <protection locked="true" hidden="false"/>
    </xf>
    <xf numFmtId="165" fontId="12" fillId="0" borderId="1" xfId="0" applyFont="true" applyBorder="true" applyAlignment="true" applyProtection="false">
      <alignment horizontal="left" vertical="center"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8" fontId="8" fillId="0" borderId="0" xfId="0" applyFont="true" applyBorder="false" applyAlignment="true" applyProtection="false">
      <alignment horizontal="center" vertical="center" textRotation="0" wrapText="false" indent="0" shrinkToFit="false"/>
      <protection locked="true" hidden="false"/>
    </xf>
    <xf numFmtId="168" fontId="8" fillId="0" borderId="1" xfId="0" applyFont="true" applyBorder="true" applyAlignment="true" applyProtection="false">
      <alignment horizontal="center" vertical="center" textRotation="0" wrapText="false" indent="0" shrinkToFit="false"/>
      <protection locked="true" hidden="false"/>
    </xf>
    <xf numFmtId="165" fontId="17" fillId="0" borderId="0" xfId="0" applyFont="true" applyBorder="false" applyAlignment="true" applyProtection="false">
      <alignment horizontal="left" vertical="bottom" textRotation="0" wrapText="false" indent="0" shrinkToFit="false"/>
      <protection locked="true" hidden="false"/>
    </xf>
    <xf numFmtId="165" fontId="9" fillId="0" borderId="1" xfId="0" applyFont="true" applyBorder="true" applyAlignment="true" applyProtection="false">
      <alignment horizontal="left" vertical="center" textRotation="0" wrapText="false" indent="0" shrinkToFit="false"/>
      <protection locked="true" hidden="false"/>
    </xf>
    <xf numFmtId="165" fontId="6" fillId="0" borderId="0" xfId="0" applyFont="true" applyBorder="false" applyAlignment="true" applyProtection="false">
      <alignment horizontal="left" vertical="bottom" textRotation="0" wrapText="false" indent="0" shrinkToFit="false"/>
      <protection locked="true" hidden="false"/>
    </xf>
    <xf numFmtId="165" fontId="6" fillId="2" borderId="3" xfId="0" applyFont="true" applyBorder="true" applyAlignment="true" applyProtection="false">
      <alignment horizontal="left" vertical="bottom" textRotation="0" wrapText="false" indent="0" shrinkToFit="false"/>
      <protection locked="true" hidden="false"/>
    </xf>
    <xf numFmtId="165" fontId="6" fillId="4" borderId="2"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1" fontId="14" fillId="0" borderId="0" xfId="0" applyFont="true" applyBorder="false" applyAlignment="true" applyProtection="false">
      <alignment horizontal="center" vertical="center" textRotation="0" wrapText="false" indent="0" shrinkToFit="false"/>
      <protection locked="true" hidden="false"/>
    </xf>
    <xf numFmtId="173" fontId="14" fillId="0" borderId="0" xfId="0" applyFont="true" applyBorder="false" applyAlignment="true" applyProtection="false">
      <alignment horizontal="general" vertical="center" textRotation="0" wrapText="false" indent="0" shrinkToFit="false"/>
      <protection locked="true" hidden="false"/>
    </xf>
    <xf numFmtId="165" fontId="6" fillId="0" borderId="0" xfId="0" applyFont="true" applyBorder="false" applyAlignment="true" applyProtection="false">
      <alignment horizontal="right" vertical="center" textRotation="0" wrapText="false" indent="0" shrinkToFit="false"/>
      <protection locked="true" hidden="false"/>
    </xf>
    <xf numFmtId="171" fontId="14" fillId="0" borderId="0" xfId="0" applyFont="true" applyBorder="true" applyAlignment="true" applyProtection="false">
      <alignment horizontal="center" vertical="center" textRotation="0" wrapText="false" indent="0" shrinkToFit="false"/>
      <protection locked="true" hidden="false"/>
    </xf>
    <xf numFmtId="171" fontId="18" fillId="4" borderId="1" xfId="0" applyFont="true" applyBorder="true" applyAlignment="true" applyProtection="false">
      <alignment horizontal="center" vertical="center" textRotation="0" wrapText="false" indent="0" shrinkToFit="false"/>
      <protection locked="true" hidden="false"/>
    </xf>
    <xf numFmtId="174" fontId="8" fillId="0" borderId="1" xfId="0" applyFont="true" applyBorder="true" applyAlignment="true" applyProtection="false">
      <alignment horizontal="center" vertical="center" textRotation="0" wrapText="false" indent="0" shrinkToFit="false"/>
      <protection locked="true" hidden="false"/>
    </xf>
    <xf numFmtId="174" fontId="14" fillId="0" borderId="1" xfId="0" applyFont="true" applyBorder="true" applyAlignment="true" applyProtection="false">
      <alignment horizontal="center" vertical="center" textRotation="0" wrapText="fals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5" fontId="14" fillId="0" borderId="0" xfId="0" applyFont="true" applyBorder="false" applyAlignment="true" applyProtection="false">
      <alignment horizontal="left" vertical="top" textRotation="0" wrapText="false" indent="0" shrinkToFit="false"/>
      <protection locked="true" hidden="false"/>
    </xf>
    <xf numFmtId="165" fontId="4" fillId="0" borderId="0" xfId="0" applyFont="true" applyBorder="false" applyAlignment="true" applyProtection="false">
      <alignment horizontal="left" vertical="top" textRotation="0" wrapText="false" indent="0" shrinkToFit="false"/>
      <protection locked="true" hidden="false"/>
    </xf>
    <xf numFmtId="164" fontId="19" fillId="0" borderId="0" xfId="0" applyFont="true" applyBorder="fals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9" fontId="19" fillId="0" borderId="0" xfId="0" applyFont="true" applyBorder="fals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center" vertical="center" textRotation="0" wrapText="false" indent="0" shrinkToFit="false"/>
      <protection locked="true" hidden="false"/>
    </xf>
    <xf numFmtId="164" fontId="19" fillId="0" borderId="1" xfId="0" applyFont="true" applyBorder="true" applyAlignment="true" applyProtection="false">
      <alignment horizontal="left" vertical="center" textRotation="0" wrapText="false" indent="0" shrinkToFit="false"/>
      <protection locked="true" hidden="false"/>
    </xf>
    <xf numFmtId="164" fontId="20" fillId="4" borderId="1" xfId="0" applyFont="true" applyBorder="true" applyAlignment="true" applyProtection="false">
      <alignment horizontal="center" vertical="center" textRotation="0" wrapText="false" indent="0" shrinkToFit="false"/>
      <protection locked="true" hidden="false"/>
    </xf>
    <xf numFmtId="164" fontId="20" fillId="4" borderId="1" xfId="0" applyFont="true" applyBorder="true" applyAlignment="true" applyProtection="false">
      <alignment horizontal="left" vertical="center" textRotation="0" wrapText="false" indent="0" shrinkToFit="false"/>
      <protection locked="true" hidden="false"/>
    </xf>
    <xf numFmtId="169" fontId="20" fillId="0" borderId="1" xfId="0" applyFont="true" applyBorder="true" applyAlignment="true" applyProtection="false">
      <alignment horizontal="center" vertical="center" textRotation="0" wrapText="true" indent="0" shrinkToFit="false"/>
      <protection locked="true" hidden="false"/>
    </xf>
    <xf numFmtId="169" fontId="20" fillId="4" borderId="1" xfId="0" applyFont="true" applyBorder="true" applyAlignment="true" applyProtection="false">
      <alignment horizontal="center" vertical="center" textRotation="0" wrapText="true" indent="0" shrinkToFit="false"/>
      <protection locked="true" hidden="false"/>
    </xf>
    <xf numFmtId="164" fontId="21" fillId="5" borderId="1" xfId="0" applyFont="true" applyBorder="true" applyAlignment="true" applyProtection="false">
      <alignment horizontal="center" vertical="center" textRotation="0" wrapText="false" indent="0" shrinkToFit="false"/>
      <protection locked="true" hidden="false"/>
    </xf>
    <xf numFmtId="164" fontId="16" fillId="5" borderId="1" xfId="0" applyFont="true" applyBorder="true" applyAlignment="true" applyProtection="false">
      <alignment horizontal="center" vertical="center" textRotation="0" wrapText="false" indent="0" shrinkToFit="false"/>
      <protection locked="true" hidden="false"/>
    </xf>
    <xf numFmtId="169" fontId="19" fillId="0" borderId="1" xfId="0" applyFont="true" applyBorder="true" applyAlignment="true" applyProtection="false">
      <alignment horizontal="center" vertical="center" textRotation="0" wrapText="false" indent="0" shrinkToFit="false"/>
      <protection locked="true" hidden="false"/>
    </xf>
    <xf numFmtId="164" fontId="22" fillId="0" borderId="1" xfId="0" applyFont="true" applyBorder="true" applyAlignment="true" applyProtection="false">
      <alignment horizontal="left" vertical="center" textRotation="0" wrapText="fals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4" fontId="23" fillId="0" borderId="1" xfId="0" applyFont="true" applyBorder="true" applyAlignment="true" applyProtection="false">
      <alignment horizontal="left" vertical="center" textRotation="0" wrapText="false" indent="0" shrinkToFit="false"/>
      <protection locked="true" hidden="false"/>
    </xf>
    <xf numFmtId="164" fontId="23" fillId="0" borderId="1" xfId="0" applyFont="true" applyBorder="true" applyAlignment="true" applyProtection="false">
      <alignment horizontal="center" vertical="center" textRotation="0" wrapText="false" indent="0" shrinkToFit="false"/>
      <protection locked="true" hidden="false"/>
    </xf>
    <xf numFmtId="164" fontId="24" fillId="0" borderId="1" xfId="0" applyFont="true" applyBorder="true" applyAlignment="true" applyProtection="false">
      <alignment horizontal="left" vertical="center" textRotation="0" wrapText="false" indent="0" shrinkToFit="false"/>
      <protection locked="true" hidden="false"/>
    </xf>
    <xf numFmtId="164" fontId="25" fillId="0" borderId="1" xfId="0" applyFont="true" applyBorder="true" applyAlignment="true" applyProtection="false">
      <alignment horizontal="left" vertical="center" textRotation="0" wrapText="false" indent="0" shrinkToFit="false"/>
      <protection locked="true" hidden="false"/>
    </xf>
    <xf numFmtId="164" fontId="26" fillId="0" borderId="1" xfId="0" applyFont="true" applyBorder="true" applyAlignment="true" applyProtection="false">
      <alignment horizontal="left" vertical="center" textRotation="0" wrapText="false" indent="0" shrinkToFit="false"/>
      <protection locked="true" hidden="false"/>
    </xf>
    <xf numFmtId="164" fontId="27" fillId="5" borderId="1" xfId="0" applyFont="true" applyBorder="true" applyAlignment="true" applyProtection="false">
      <alignment horizontal="left" vertical="center" textRotation="0" wrapText="false" indent="0" shrinkToFit="false"/>
      <protection locked="true" hidden="false"/>
    </xf>
    <xf numFmtId="169" fontId="19" fillId="5"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left" vertical="center" textRotation="0" wrapText="false" indent="0" shrinkToFit="false"/>
      <protection locked="true" hidden="false"/>
    </xf>
    <xf numFmtId="164" fontId="25" fillId="0" borderId="1" xfId="0" applyFont="true" applyBorder="true" applyAlignment="true" applyProtection="false">
      <alignment horizontal="center" vertical="center" textRotation="0" wrapText="false" indent="0" shrinkToFit="false"/>
      <protection locked="true" hidden="false"/>
    </xf>
    <xf numFmtId="164" fontId="28" fillId="0" borderId="1" xfId="0" applyFont="true" applyBorder="true" applyAlignment="true" applyProtection="false">
      <alignment horizontal="left" vertical="center" textRotation="0" wrapText="false" indent="0" shrinkToFit="false"/>
      <protection locked="true" hidden="false"/>
    </xf>
    <xf numFmtId="164" fontId="20" fillId="0" borderId="1" xfId="0" applyFont="true" applyBorder="true" applyAlignment="true" applyProtection="false">
      <alignment horizontal="left" vertical="center" textRotation="0" wrapText="false" indent="0" shrinkToFit="false"/>
      <protection locked="true" hidden="false"/>
    </xf>
    <xf numFmtId="169" fontId="16" fillId="0" borderId="0" xfId="0" applyFont="true" applyBorder="false" applyAlignment="true" applyProtection="false">
      <alignment horizontal="center"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6">
    <dxf>
      <fill>
        <patternFill patternType="solid">
          <bgColor rgb="FF000000"/>
        </patternFill>
      </fill>
    </dxf>
    <dxf>
      <fill>
        <patternFill patternType="solid">
          <fgColor rgb="FF000000"/>
          <bgColor rgb="FF000000"/>
        </patternFill>
      </fill>
    </dxf>
    <dxf>
      <fill>
        <patternFill patternType="solid">
          <fgColor rgb="FF7030A0"/>
          <bgColor rgb="FF000000"/>
        </patternFill>
      </fill>
    </dxf>
    <dxf>
      <fill>
        <patternFill patternType="solid">
          <fgColor rgb="FFFF0000"/>
          <bgColor rgb="FF000000"/>
        </patternFill>
      </fill>
    </dxf>
    <dxf>
      <fill>
        <patternFill patternType="solid">
          <fgColor rgb="FFFFFFFF"/>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A6A6A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5.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720</xdr:colOff>
      <xdr:row>0</xdr:row>
      <xdr:rowOff>720</xdr:rowOff>
    </xdr:from>
    <xdr:to>
      <xdr:col>1</xdr:col>
      <xdr:colOff>157320</xdr:colOff>
      <xdr:row>2</xdr:row>
      <xdr:rowOff>41040</xdr:rowOff>
    </xdr:to>
    <xdr:pic>
      <xdr:nvPicPr>
        <xdr:cNvPr id="0" name="图片 2" descr="5VV}QGO93Q5}@CN47TT`7%L"/>
        <xdr:cNvPicPr/>
      </xdr:nvPicPr>
      <xdr:blipFill>
        <a:blip r:embed="rId1"/>
        <a:stretch/>
      </xdr:blipFill>
      <xdr:spPr>
        <a:xfrm>
          <a:off x="720" y="720"/>
          <a:ext cx="2247480" cy="6688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12</xdr:col>
      <xdr:colOff>70560</xdr:colOff>
      <xdr:row>50</xdr:row>
      <xdr:rowOff>138960</xdr:rowOff>
    </xdr:from>
    <xdr:to>
      <xdr:col>12</xdr:col>
      <xdr:colOff>1472400</xdr:colOff>
      <xdr:row>50</xdr:row>
      <xdr:rowOff>1694880</xdr:rowOff>
    </xdr:to>
    <xdr:pic>
      <xdr:nvPicPr>
        <xdr:cNvPr id="1" name="图片 2" descr=""/>
        <xdr:cNvPicPr/>
      </xdr:nvPicPr>
      <xdr:blipFill>
        <a:blip r:embed="rId1"/>
        <a:stretch/>
      </xdr:blipFill>
      <xdr:spPr>
        <a:xfrm>
          <a:off x="10162080" y="11949840"/>
          <a:ext cx="1401840" cy="1555920"/>
        </a:xfrm>
        <a:prstGeom prst="rect">
          <a:avLst/>
        </a:prstGeom>
        <a:ln w="9525">
          <a:noFill/>
        </a:ln>
      </xdr:spPr>
    </xdr:pic>
    <xdr:clientData/>
  </xdr:twoCellAnchor>
  <xdr:twoCellAnchor editAs="oneCell">
    <xdr:from>
      <xdr:col>12</xdr:col>
      <xdr:colOff>1868040</xdr:colOff>
      <xdr:row>50</xdr:row>
      <xdr:rowOff>254520</xdr:rowOff>
    </xdr:from>
    <xdr:to>
      <xdr:col>12</xdr:col>
      <xdr:colOff>2933280</xdr:colOff>
      <xdr:row>50</xdr:row>
      <xdr:rowOff>1677240</xdr:rowOff>
    </xdr:to>
    <xdr:pic>
      <xdr:nvPicPr>
        <xdr:cNvPr id="2" name="图片 1" descr=""/>
        <xdr:cNvPicPr/>
      </xdr:nvPicPr>
      <xdr:blipFill>
        <a:blip r:embed="rId2"/>
        <a:stretch/>
      </xdr:blipFill>
      <xdr:spPr>
        <a:xfrm>
          <a:off x="11959560" y="12065400"/>
          <a:ext cx="1065240" cy="1422720"/>
        </a:xfrm>
        <a:prstGeom prst="rect">
          <a:avLst/>
        </a:prstGeom>
        <a:ln w="9525">
          <a:noFill/>
        </a:ln>
      </xdr:spPr>
    </xdr:pic>
    <xdr:clientData/>
  </xdr:twoCellAnchor>
  <xdr:twoCellAnchor editAs="oneCell">
    <xdr:from>
      <xdr:col>1</xdr:col>
      <xdr:colOff>104760</xdr:colOff>
      <xdr:row>56</xdr:row>
      <xdr:rowOff>184320</xdr:rowOff>
    </xdr:from>
    <xdr:to>
      <xdr:col>1</xdr:col>
      <xdr:colOff>781920</xdr:colOff>
      <xdr:row>56</xdr:row>
      <xdr:rowOff>869760</xdr:rowOff>
    </xdr:to>
    <xdr:pic>
      <xdr:nvPicPr>
        <xdr:cNvPr id="3" name="图片 4" descr=""/>
        <xdr:cNvPicPr/>
      </xdr:nvPicPr>
      <xdr:blipFill>
        <a:blip r:embed="rId3"/>
        <a:stretch/>
      </xdr:blipFill>
      <xdr:spPr>
        <a:xfrm>
          <a:off x="504000" y="14929200"/>
          <a:ext cx="677160" cy="685440"/>
        </a:xfrm>
        <a:prstGeom prst="rect">
          <a:avLst/>
        </a:prstGeom>
        <a:ln w="9525">
          <a:noFill/>
        </a:ln>
      </xdr:spPr>
    </xdr:pic>
    <xdr:clientData/>
  </xdr:twoCellAnchor>
  <xdr:twoCellAnchor editAs="oneCell">
    <xdr:from>
      <xdr:col>1</xdr:col>
      <xdr:colOff>85680</xdr:colOff>
      <xdr:row>57</xdr:row>
      <xdr:rowOff>123840</xdr:rowOff>
    </xdr:from>
    <xdr:to>
      <xdr:col>1</xdr:col>
      <xdr:colOff>866520</xdr:colOff>
      <xdr:row>57</xdr:row>
      <xdr:rowOff>894960</xdr:rowOff>
    </xdr:to>
    <xdr:pic>
      <xdr:nvPicPr>
        <xdr:cNvPr id="4" name="图片 5" descr=""/>
        <xdr:cNvPicPr/>
      </xdr:nvPicPr>
      <xdr:blipFill>
        <a:blip r:embed="rId4"/>
        <a:stretch/>
      </xdr:blipFill>
      <xdr:spPr>
        <a:xfrm>
          <a:off x="484920" y="15897240"/>
          <a:ext cx="780840" cy="771120"/>
        </a:xfrm>
        <a:prstGeom prst="rect">
          <a:avLst/>
        </a:prstGeom>
        <a:ln w="9525">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35" activeCellId="0" sqref="E35"/>
    </sheetView>
  </sheetViews>
  <sheetFormatPr defaultColWidth="9.00390625" defaultRowHeight="13.5" zeroHeight="false" outlineLevelRow="0" outlineLevelCol="0"/>
  <cols>
    <col collapsed="false" customWidth="true" hidden="false" outlineLevel="0" max="1" min="1" style="1" width="29.66"/>
    <col collapsed="false" customWidth="true" hidden="false" outlineLevel="0" max="2" min="2" style="1" width="20.66"/>
    <col collapsed="false" customWidth="true" hidden="false" outlineLevel="0" max="3" min="3" style="1" width="16"/>
    <col collapsed="false" customWidth="true" hidden="false" outlineLevel="0" max="4" min="4" style="1" width="15.16"/>
    <col collapsed="false" customWidth="true" hidden="false" outlineLevel="0" max="5" min="5" style="1" width="17.5"/>
    <col collapsed="false" customWidth="true" hidden="false" outlineLevel="0" max="7" min="6" style="1" width="15.16"/>
    <col collapsed="false" customWidth="true" hidden="false" outlineLevel="0" max="9" min="8" style="1" width="14.33"/>
    <col collapsed="false" customWidth="true" hidden="false" outlineLevel="0" max="10" min="10" style="1" width="13.5"/>
    <col collapsed="false" customWidth="true" hidden="false" outlineLevel="0" max="11" min="11" style="1" width="15.16"/>
    <col collapsed="false" customWidth="true" hidden="false" outlineLevel="0" max="12" min="12" style="2" width="20.33"/>
    <col collapsed="false" customWidth="false" hidden="false" outlineLevel="0" max="16384" min="13" style="2" width="9"/>
  </cols>
  <sheetData>
    <row r="1" s="4" customFormat="true" ht="34.5" hidden="false" customHeight="true" outlineLevel="0" collapsed="false">
      <c r="A1" s="3" t="s">
        <v>0</v>
      </c>
      <c r="B1" s="3"/>
      <c r="C1" s="3"/>
      <c r="D1" s="3"/>
      <c r="E1" s="3"/>
      <c r="F1" s="3"/>
      <c r="G1" s="3"/>
      <c r="H1" s="3"/>
      <c r="I1" s="3"/>
      <c r="J1" s="3"/>
      <c r="K1" s="3"/>
    </row>
    <row r="2" s="4" customFormat="true" ht="15" hidden="false" customHeight="true" outlineLevel="0" collapsed="false">
      <c r="A2" s="5"/>
      <c r="B2" s="5"/>
      <c r="C2" s="5"/>
      <c r="D2" s="5"/>
      <c r="E2" s="5"/>
      <c r="F2" s="5"/>
      <c r="G2" s="5"/>
      <c r="H2" s="5"/>
      <c r="I2" s="5"/>
      <c r="J2" s="5"/>
      <c r="K2" s="5"/>
    </row>
    <row r="3" s="4" customFormat="true" ht="21" hidden="false" customHeight="true" outlineLevel="0" collapsed="false">
      <c r="A3" s="6" t="s">
        <v>1</v>
      </c>
      <c r="B3" s="7"/>
      <c r="C3" s="8" t="s">
        <v>2</v>
      </c>
      <c r="D3" s="9"/>
      <c r="E3" s="10" t="s">
        <v>3</v>
      </c>
      <c r="F3" s="10"/>
      <c r="G3" s="10" t="s">
        <v>4</v>
      </c>
      <c r="H3" s="10"/>
      <c r="I3" s="6"/>
      <c r="J3" s="11"/>
      <c r="K3" s="9"/>
    </row>
    <row r="4" s="4" customFormat="true" ht="21" hidden="false" customHeight="true" outlineLevel="0" collapsed="false">
      <c r="A4" s="6" t="s">
        <v>5</v>
      </c>
      <c r="B4" s="7"/>
      <c r="C4" s="8" t="s">
        <v>6</v>
      </c>
      <c r="D4" s="9"/>
      <c r="E4" s="12" t="s">
        <v>7</v>
      </c>
      <c r="F4" s="12"/>
      <c r="G4" s="13" t="s">
        <v>8</v>
      </c>
      <c r="H4" s="13"/>
      <c r="I4" s="14"/>
      <c r="J4" s="11"/>
      <c r="K4" s="9"/>
    </row>
    <row r="5" s="4" customFormat="true" ht="21" hidden="false" customHeight="true" outlineLevel="0" collapsed="false">
      <c r="A5" s="6" t="s">
        <v>9</v>
      </c>
      <c r="B5" s="15"/>
      <c r="C5" s="8" t="s">
        <v>10</v>
      </c>
      <c r="D5" s="9"/>
      <c r="E5" s="12"/>
      <c r="F5" s="12"/>
      <c r="G5" s="13"/>
      <c r="H5" s="13"/>
      <c r="I5" s="14"/>
      <c r="J5" s="11"/>
      <c r="K5" s="9"/>
    </row>
    <row r="6" s="4" customFormat="true" ht="21" hidden="false" customHeight="true" outlineLevel="0" collapsed="false">
      <c r="A6" s="6" t="s">
        <v>11</v>
      </c>
      <c r="B6" s="16"/>
      <c r="C6" s="8" t="s">
        <v>12</v>
      </c>
      <c r="D6" s="9"/>
      <c r="E6" s="12"/>
      <c r="F6" s="12"/>
      <c r="G6" s="13"/>
      <c r="H6" s="13"/>
      <c r="I6" s="14"/>
      <c r="J6" s="11"/>
      <c r="K6" s="9"/>
    </row>
    <row r="7" s="4" customFormat="true" ht="21" hidden="false" customHeight="true" outlineLevel="0" collapsed="false">
      <c r="A7" s="10" t="s">
        <v>13</v>
      </c>
      <c r="B7" s="10"/>
      <c r="C7" s="17" t="s">
        <v>14</v>
      </c>
      <c r="D7" s="18"/>
      <c r="E7" s="12"/>
      <c r="F7" s="12"/>
      <c r="G7" s="13"/>
      <c r="H7" s="13"/>
      <c r="I7" s="14"/>
      <c r="J7" s="11"/>
      <c r="K7" s="9"/>
    </row>
    <row r="8" s="4" customFormat="true" ht="21" hidden="false" customHeight="true" outlineLevel="0" collapsed="false">
      <c r="A8" s="19" t="s">
        <v>15</v>
      </c>
      <c r="B8" s="20"/>
      <c r="C8" s="7"/>
      <c r="D8" s="11"/>
      <c r="E8" s="12"/>
      <c r="F8" s="12"/>
      <c r="G8" s="13"/>
      <c r="H8" s="13"/>
      <c r="I8" s="14"/>
      <c r="J8" s="11"/>
      <c r="K8" s="9"/>
    </row>
    <row r="9" s="4" customFormat="true" ht="13.5" hidden="false" customHeight="false" outlineLevel="0" collapsed="false">
      <c r="A9" s="19"/>
      <c r="B9" s="20"/>
      <c r="C9" s="7"/>
      <c r="D9" s="9"/>
      <c r="E9" s="9"/>
      <c r="F9" s="21"/>
      <c r="G9" s="9"/>
      <c r="H9" s="9"/>
      <c r="I9" s="9"/>
      <c r="J9" s="9"/>
      <c r="K9" s="9"/>
    </row>
    <row r="10" s="4" customFormat="true" ht="13.5" hidden="false" customHeight="false" outlineLevel="0" collapsed="false">
      <c r="A10" s="19"/>
      <c r="B10" s="20"/>
      <c r="C10" s="7"/>
      <c r="D10" s="9"/>
      <c r="E10" s="9"/>
      <c r="F10" s="21"/>
      <c r="G10" s="9"/>
      <c r="H10" s="9"/>
      <c r="I10" s="9"/>
      <c r="J10" s="9"/>
      <c r="K10" s="9"/>
    </row>
    <row r="11" s="4" customFormat="true" ht="13.5" hidden="false" customHeight="false" outlineLevel="0" collapsed="false">
      <c r="A11" s="22" t="s">
        <v>16</v>
      </c>
      <c r="B11" s="22"/>
      <c r="C11" s="9"/>
      <c r="D11" s="9"/>
      <c r="E11" s="9"/>
      <c r="F11" s="9"/>
      <c r="G11" s="9"/>
      <c r="H11" s="9"/>
      <c r="I11" s="9"/>
      <c r="J11" s="9"/>
      <c r="K11" s="9"/>
      <c r="L11" s="9"/>
    </row>
    <row r="12" s="4" customFormat="true" ht="13.5" hidden="false" customHeight="false" outlineLevel="0" collapsed="false">
      <c r="A12" s="23" t="s">
        <v>17</v>
      </c>
      <c r="B12" s="23" t="s">
        <v>18</v>
      </c>
      <c r="C12" s="23" t="s">
        <v>19</v>
      </c>
      <c r="D12" s="23" t="s">
        <v>20</v>
      </c>
      <c r="E12" s="23" t="s">
        <v>21</v>
      </c>
      <c r="F12" s="23" t="s">
        <v>22</v>
      </c>
      <c r="G12" s="23" t="s">
        <v>23</v>
      </c>
      <c r="H12" s="23" t="s">
        <v>24</v>
      </c>
      <c r="I12" s="23" t="s">
        <v>25</v>
      </c>
      <c r="J12" s="23" t="s">
        <v>26</v>
      </c>
      <c r="K12" s="23" t="s">
        <v>27</v>
      </c>
      <c r="L12" s="24" t="s">
        <v>28</v>
      </c>
    </row>
    <row r="13" s="4" customFormat="true" ht="15" hidden="false" customHeight="true" outlineLevel="0" collapsed="false">
      <c r="A13" s="25" t="s">
        <v>29</v>
      </c>
      <c r="B13" s="25" t="n">
        <v>2</v>
      </c>
      <c r="C13" s="25" t="s">
        <v>30</v>
      </c>
      <c r="D13" s="26" t="n">
        <v>1.6</v>
      </c>
      <c r="E13" s="27" t="s">
        <v>31</v>
      </c>
      <c r="F13" s="27" t="s">
        <v>32</v>
      </c>
      <c r="G13" s="28" t="s">
        <v>33</v>
      </c>
      <c r="H13" s="29" t="s">
        <v>34</v>
      </c>
      <c r="I13" s="28" t="n">
        <v>1</v>
      </c>
      <c r="J13" s="30" t="n">
        <v>2500</v>
      </c>
      <c r="K13" s="31" t="n">
        <v>1487</v>
      </c>
      <c r="L13" s="32" t="s">
        <v>35</v>
      </c>
      <c r="M13" s="33"/>
    </row>
    <row r="14" s="4" customFormat="true" ht="13.5" hidden="false" customHeight="false" outlineLevel="0" collapsed="false">
      <c r="A14" s="30" t="s">
        <v>36</v>
      </c>
      <c r="B14" s="30"/>
      <c r="C14" s="30"/>
      <c r="D14" s="26"/>
      <c r="E14" s="30"/>
      <c r="F14" s="30"/>
      <c r="G14" s="30"/>
      <c r="H14" s="30"/>
      <c r="I14" s="30"/>
      <c r="J14" s="30" t="n">
        <v>1</v>
      </c>
      <c r="K14" s="31" t="n">
        <v>12</v>
      </c>
      <c r="L14" s="32" t="s">
        <v>37</v>
      </c>
    </row>
    <row r="15" s="4" customFormat="true" ht="13.5" hidden="false" customHeight="false" outlineLevel="0" collapsed="false">
      <c r="A15" s="9"/>
      <c r="B15" s="9"/>
      <c r="C15" s="9"/>
      <c r="D15" s="9"/>
      <c r="E15" s="9"/>
      <c r="F15" s="9"/>
      <c r="G15" s="9"/>
      <c r="H15" s="9"/>
      <c r="I15" s="9"/>
      <c r="J15" s="34" t="s">
        <v>38</v>
      </c>
      <c r="K15" s="35" t="n">
        <f aca="false">SUM(K13:K14)</f>
        <v>1499</v>
      </c>
      <c r="L15" s="30"/>
    </row>
    <row r="16" s="4" customFormat="true" ht="13.5" hidden="false" customHeight="false" outlineLevel="0" collapsed="false">
      <c r="A16" s="9"/>
      <c r="B16" s="9"/>
      <c r="C16" s="9"/>
      <c r="D16" s="9"/>
      <c r="E16" s="9"/>
      <c r="F16" s="9"/>
      <c r="G16" s="36"/>
      <c r="H16" s="9"/>
      <c r="I16" s="9"/>
      <c r="J16" s="9"/>
      <c r="K16" s="9"/>
    </row>
    <row r="17" s="39" customFormat="true" ht="13.5" hidden="false" customHeight="false" outlineLevel="0" collapsed="false">
      <c r="A17" s="37" t="s">
        <v>39</v>
      </c>
      <c r="B17" s="37"/>
      <c r="C17" s="38"/>
      <c r="D17" s="38"/>
      <c r="E17" s="38"/>
      <c r="F17" s="38"/>
      <c r="G17" s="38"/>
      <c r="H17" s="38"/>
      <c r="I17" s="38"/>
    </row>
    <row r="18" s="39" customFormat="true" ht="15.75" hidden="false" customHeight="true" outlineLevel="0" collapsed="false">
      <c r="A18" s="23" t="s">
        <v>17</v>
      </c>
      <c r="B18" s="24" t="s">
        <v>40</v>
      </c>
      <c r="C18" s="24"/>
      <c r="D18" s="23" t="s">
        <v>41</v>
      </c>
      <c r="E18" s="24" t="s">
        <v>0</v>
      </c>
      <c r="F18" s="40" t="s">
        <v>42</v>
      </c>
      <c r="G18" s="24" t="s">
        <v>28</v>
      </c>
      <c r="H18" s="41"/>
      <c r="I18" s="42"/>
      <c r="K18" s="41"/>
    </row>
    <row r="19" s="39" customFormat="true" ht="15.75" hidden="false" customHeight="true" outlineLevel="0" collapsed="false">
      <c r="A19" s="30" t="str">
        <f aca="false">A13</f>
        <v>TemporalBadge</v>
      </c>
      <c r="B19" s="43" t="s">
        <v>43</v>
      </c>
      <c r="C19" s="44" t="n">
        <v>54</v>
      </c>
      <c r="D19" s="30" t="n">
        <v>2500</v>
      </c>
      <c r="E19" s="45" t="n">
        <v>6651</v>
      </c>
      <c r="F19" s="46" t="n">
        <f aca="false">E19*0.6</f>
        <v>3990.6</v>
      </c>
      <c r="G19" s="47" t="s">
        <v>44</v>
      </c>
      <c r="H19" s="42"/>
      <c r="I19" s="42"/>
    </row>
    <row r="20" s="39" customFormat="true" ht="15.75" hidden="false" customHeight="true" outlineLevel="0" collapsed="false">
      <c r="A20" s="30"/>
      <c r="B20" s="43" t="s">
        <v>45</v>
      </c>
      <c r="C20" s="44" t="n">
        <v>182</v>
      </c>
      <c r="D20" s="30"/>
      <c r="E20" s="30"/>
      <c r="F20" s="30"/>
      <c r="G20" s="47"/>
      <c r="H20" s="42"/>
      <c r="I20" s="42"/>
    </row>
    <row r="21" s="39" customFormat="true" ht="15.75" hidden="false" customHeight="true" outlineLevel="0" collapsed="false">
      <c r="A21" s="30"/>
      <c r="B21" s="43" t="s">
        <v>46</v>
      </c>
      <c r="C21" s="44" t="n">
        <v>505</v>
      </c>
      <c r="D21" s="30"/>
      <c r="E21" s="30"/>
      <c r="F21" s="30"/>
      <c r="G21" s="47"/>
      <c r="H21" s="42"/>
      <c r="I21" s="42"/>
    </row>
    <row r="22" s="39" customFormat="true" ht="15.75" hidden="false" customHeight="true" outlineLevel="0" collapsed="false">
      <c r="A22" s="30"/>
      <c r="B22" s="43" t="s">
        <v>47</v>
      </c>
      <c r="C22" s="44" t="n">
        <v>10</v>
      </c>
      <c r="D22" s="30"/>
      <c r="E22" s="45"/>
      <c r="F22" s="45"/>
      <c r="G22" s="47"/>
      <c r="H22" s="42"/>
      <c r="I22" s="42"/>
    </row>
    <row r="23" s="48" customFormat="true" ht="15.75" hidden="false" customHeight="true" outlineLevel="0" collapsed="false">
      <c r="A23" s="5"/>
      <c r="B23" s="5"/>
      <c r="C23" s="5"/>
      <c r="E23" s="34" t="s">
        <v>38</v>
      </c>
      <c r="F23" s="49" t="n">
        <f aca="false">F19</f>
        <v>3990.6</v>
      </c>
      <c r="G23" s="42"/>
      <c r="H23" s="42"/>
      <c r="I23" s="42"/>
      <c r="J23" s="42"/>
    </row>
    <row r="24" s="4" customFormat="true" ht="13.5" hidden="false" customHeight="false" outlineLevel="0" collapsed="false">
      <c r="A24" s="9"/>
      <c r="B24" s="9"/>
      <c r="C24" s="9"/>
      <c r="D24" s="50"/>
      <c r="E24" s="36"/>
      <c r="F24" s="51"/>
      <c r="G24" s="9"/>
      <c r="H24" s="9"/>
      <c r="I24" s="9"/>
      <c r="K24" s="52"/>
    </row>
    <row r="25" s="4" customFormat="true" ht="15.75" hidden="false" customHeight="true" outlineLevel="0" collapsed="false">
      <c r="A25" s="36"/>
      <c r="B25" s="9"/>
      <c r="C25" s="9"/>
      <c r="D25" s="9"/>
      <c r="E25" s="9"/>
      <c r="F25" s="53"/>
      <c r="G25" s="9"/>
      <c r="H25" s="9"/>
      <c r="I25" s="9"/>
      <c r="J25" s="9"/>
      <c r="K25" s="9"/>
    </row>
    <row r="26" s="4" customFormat="true" ht="13.5" hidden="false" customHeight="false" outlineLevel="0" collapsed="false">
      <c r="A26" s="54" t="s">
        <v>48</v>
      </c>
      <c r="B26" s="54"/>
      <c r="C26" s="9"/>
      <c r="D26" s="38"/>
      <c r="E26" s="38"/>
      <c r="F26" s="53"/>
      <c r="H26" s="9"/>
      <c r="I26" s="9"/>
      <c r="J26" s="9"/>
      <c r="K26" s="9"/>
    </row>
    <row r="27" s="4" customFormat="true" ht="15" hidden="false" customHeight="true" outlineLevel="0" collapsed="false">
      <c r="A27" s="55" t="s">
        <v>17</v>
      </c>
      <c r="B27" s="55" t="s">
        <v>49</v>
      </c>
      <c r="C27" s="56" t="s">
        <v>28</v>
      </c>
      <c r="D27" s="56"/>
      <c r="E27" s="38"/>
      <c r="F27" s="53"/>
      <c r="G27" s="9"/>
      <c r="H27" s="9"/>
      <c r="I27" s="41"/>
      <c r="J27" s="9"/>
      <c r="K27" s="9"/>
    </row>
    <row r="28" s="4" customFormat="true" ht="13.5" hidden="false" customHeight="false" outlineLevel="0" collapsed="false">
      <c r="A28" s="57" t="str">
        <f aca="false">A13</f>
        <v>TemporalBadge</v>
      </c>
      <c r="B28" s="58" t="n">
        <f aca="false">D19*TemporalBadge!L53</f>
        <v>5000</v>
      </c>
      <c r="C28" s="30" t="s">
        <v>50</v>
      </c>
      <c r="D28" s="30"/>
      <c r="E28" s="38"/>
      <c r="F28" s="53"/>
      <c r="G28" s="9"/>
      <c r="H28" s="9"/>
      <c r="I28" s="9"/>
      <c r="J28" s="9"/>
      <c r="K28" s="9"/>
    </row>
    <row r="29" s="4" customFormat="true" ht="13.5" hidden="false" customHeight="false" outlineLevel="0" collapsed="false">
      <c r="A29" s="57" t="s">
        <v>51</v>
      </c>
      <c r="B29" s="58" t="n">
        <f aca="false">TemporalBadge!L57+TemporalBadge!L58</f>
        <v>10.39</v>
      </c>
      <c r="C29" s="59"/>
      <c r="D29" s="60"/>
      <c r="E29" s="38"/>
      <c r="F29" s="53"/>
      <c r="G29" s="9"/>
      <c r="H29" s="9"/>
      <c r="I29" s="9"/>
      <c r="J29" s="9"/>
      <c r="K29" s="9"/>
    </row>
    <row r="30" s="4" customFormat="true" ht="13.5" hidden="false" customHeight="false" outlineLevel="0" collapsed="false">
      <c r="A30" s="61" t="s">
        <v>38</v>
      </c>
      <c r="B30" s="62" t="n">
        <f aca="false">SUM(B28:B29)</f>
        <v>5010.39</v>
      </c>
      <c r="C30" s="63"/>
      <c r="D30" s="63"/>
      <c r="E30" s="38"/>
      <c r="F30" s="53"/>
      <c r="G30" s="9"/>
      <c r="H30" s="9"/>
      <c r="I30" s="9"/>
      <c r="J30" s="9"/>
      <c r="K30" s="9"/>
    </row>
    <row r="31" s="4" customFormat="true" ht="13.5" hidden="false" customHeight="false" outlineLevel="0" collapsed="false">
      <c r="A31" s="64"/>
      <c r="B31" s="65"/>
      <c r="C31" s="19"/>
      <c r="D31" s="19"/>
      <c r="E31" s="38"/>
      <c r="F31" s="53"/>
      <c r="G31" s="9"/>
      <c r="H31" s="9"/>
      <c r="I31" s="9"/>
      <c r="J31" s="9"/>
      <c r="K31" s="9"/>
    </row>
    <row r="32" s="4" customFormat="true" ht="13.5" hidden="false" customHeight="false" outlineLevel="0" collapsed="false">
      <c r="A32" s="64"/>
      <c r="B32" s="65"/>
      <c r="C32" s="19"/>
      <c r="D32" s="19"/>
      <c r="E32" s="38"/>
      <c r="F32" s="53"/>
      <c r="G32" s="9"/>
      <c r="H32" s="9"/>
      <c r="I32" s="9"/>
      <c r="J32" s="9"/>
      <c r="K32" s="9"/>
    </row>
    <row r="33" s="4" customFormat="true" ht="13.5" hidden="false" customHeight="false" outlineLevel="0" collapsed="false">
      <c r="A33" s="54" t="s">
        <v>52</v>
      </c>
      <c r="B33" s="54"/>
      <c r="C33" s="9"/>
      <c r="D33" s="38"/>
      <c r="E33" s="38"/>
      <c r="F33" s="53"/>
      <c r="H33" s="9"/>
      <c r="I33" s="9"/>
      <c r="J33" s="9"/>
      <c r="K33" s="9"/>
    </row>
    <row r="34" s="4" customFormat="true" ht="13.5" hidden="false" customHeight="false" outlineLevel="0" collapsed="false">
      <c r="A34" s="55" t="s">
        <v>17</v>
      </c>
      <c r="B34" s="55" t="s">
        <v>53</v>
      </c>
      <c r="C34" s="56" t="s">
        <v>28</v>
      </c>
      <c r="D34" s="56"/>
      <c r="E34" s="38"/>
      <c r="F34" s="53"/>
      <c r="G34" s="9"/>
      <c r="H34" s="9"/>
      <c r="I34" s="9"/>
      <c r="J34" s="9"/>
      <c r="K34" s="9"/>
    </row>
    <row r="35" s="4" customFormat="true" ht="13.5" hidden="false" customHeight="false" outlineLevel="0" collapsed="false">
      <c r="A35" s="57" t="str">
        <f aca="false">A13</f>
        <v>TemporalBadge</v>
      </c>
      <c r="B35" s="66" t="n">
        <v>0</v>
      </c>
      <c r="C35" s="30" t="s">
        <v>54</v>
      </c>
      <c r="D35" s="30"/>
      <c r="E35" s="67" t="s">
        <v>55</v>
      </c>
      <c r="F35" s="53"/>
      <c r="G35" s="9"/>
      <c r="H35" s="9"/>
      <c r="I35" s="9"/>
      <c r="J35" s="9"/>
      <c r="K35" s="9"/>
    </row>
    <row r="36" s="4" customFormat="true" ht="13.5" hidden="false" customHeight="false" outlineLevel="0" collapsed="false">
      <c r="A36" s="61" t="s">
        <v>38</v>
      </c>
      <c r="B36" s="66" t="n">
        <f aca="false">SUM(B35:B35)</f>
        <v>0</v>
      </c>
      <c r="C36" s="68"/>
      <c r="D36" s="68"/>
      <c r="E36" s="38"/>
      <c r="F36" s="53"/>
      <c r="G36" s="9"/>
      <c r="H36" s="9"/>
      <c r="I36" s="9"/>
      <c r="J36" s="9"/>
      <c r="K36" s="9"/>
    </row>
    <row r="37" s="4" customFormat="true" ht="13.5" hidden="false" customHeight="false" outlineLevel="0" collapsed="false">
      <c r="A37" s="69"/>
      <c r="B37" s="36"/>
      <c r="C37" s="9"/>
      <c r="D37" s="9"/>
      <c r="E37" s="9"/>
      <c r="F37" s="51"/>
      <c r="H37" s="9"/>
      <c r="I37" s="9"/>
      <c r="J37" s="9"/>
      <c r="K37" s="9"/>
    </row>
    <row r="38" s="4" customFormat="true" ht="13.5" hidden="false" customHeight="false" outlineLevel="0" collapsed="false">
      <c r="A38" s="70" t="s">
        <v>56</v>
      </c>
      <c r="B38" s="70"/>
      <c r="C38" s="9"/>
      <c r="D38" s="38"/>
      <c r="E38" s="38"/>
      <c r="F38" s="53"/>
      <c r="H38" s="9"/>
      <c r="I38" s="9"/>
      <c r="J38" s="9"/>
      <c r="K38" s="9"/>
    </row>
    <row r="39" s="4" customFormat="true" ht="13.5" hidden="false" customHeight="false" outlineLevel="0" collapsed="false">
      <c r="A39" s="24" t="s">
        <v>57</v>
      </c>
      <c r="B39" s="24" t="s">
        <v>58</v>
      </c>
      <c r="C39" s="24" t="s">
        <v>59</v>
      </c>
      <c r="D39" s="24" t="s">
        <v>0</v>
      </c>
      <c r="E39" s="23" t="s">
        <v>28</v>
      </c>
      <c r="G39" s="9"/>
      <c r="H39" s="9"/>
      <c r="I39" s="9"/>
      <c r="J39" s="9"/>
      <c r="K39" s="9"/>
    </row>
    <row r="40" s="72" customFormat="true" ht="15" hidden="false" customHeight="true" outlineLevel="0" collapsed="false">
      <c r="A40" s="57" t="s">
        <v>60</v>
      </c>
      <c r="B40" s="30" t="s">
        <v>61</v>
      </c>
      <c r="C40" s="26" t="s">
        <v>62</v>
      </c>
      <c r="D40" s="45" t="n">
        <v>1978</v>
      </c>
      <c r="E40" s="71" t="s">
        <v>50</v>
      </c>
      <c r="G40" s="73"/>
      <c r="H40" s="73"/>
      <c r="I40" s="73"/>
      <c r="J40" s="74"/>
      <c r="K40" s="75"/>
    </row>
    <row r="41" s="4" customFormat="true" ht="13.5" hidden="false" customHeight="false" outlineLevel="0" collapsed="false">
      <c r="A41" s="69"/>
      <c r="B41" s="9"/>
      <c r="C41" s="34" t="s">
        <v>38</v>
      </c>
      <c r="D41" s="66" t="n">
        <f aca="false">SUM(D40:D40)</f>
        <v>1978</v>
      </c>
      <c r="E41" s="30"/>
      <c r="F41" s="9"/>
      <c r="G41" s="76"/>
      <c r="H41" s="76"/>
      <c r="I41" s="73" t="s">
        <v>63</v>
      </c>
      <c r="J41" s="74" t="s">
        <v>64</v>
      </c>
      <c r="K41" s="75"/>
    </row>
    <row r="42" s="4" customFormat="true" ht="37.5" hidden="false" customHeight="true" outlineLevel="0" collapsed="false">
      <c r="A42" s="9"/>
      <c r="B42" s="9"/>
      <c r="C42" s="9"/>
      <c r="D42" s="9"/>
      <c r="E42" s="9"/>
      <c r="F42" s="9"/>
      <c r="G42" s="77" t="s">
        <v>65</v>
      </c>
      <c r="H42" s="77"/>
      <c r="I42" s="78" t="n">
        <f aca="false">K15+E19+B30+B36+D41</f>
        <v>15138.39</v>
      </c>
      <c r="J42" s="79" t="n">
        <f aca="false">K15+F23+B30+D41</f>
        <v>12477.99</v>
      </c>
      <c r="K42" s="80" t="s">
        <v>50</v>
      </c>
    </row>
    <row r="43" customFormat="false" ht="13.5" hidden="false" customHeight="false" outlineLevel="0" collapsed="false">
      <c r="A43" s="81" t="s">
        <v>66</v>
      </c>
    </row>
    <row r="44" customFormat="false" ht="13.5" hidden="false" customHeight="false" outlineLevel="0" collapsed="false">
      <c r="A44" s="81" t="s">
        <v>67</v>
      </c>
    </row>
    <row r="45" customFormat="false" ht="13.5" hidden="false" customHeight="false" outlineLevel="0" collapsed="false">
      <c r="A45" s="81" t="s">
        <v>68</v>
      </c>
    </row>
    <row r="46" customFormat="false" ht="13.5" hidden="false" customHeight="false" outlineLevel="0" collapsed="false">
      <c r="A46" s="81" t="s">
        <v>69</v>
      </c>
    </row>
    <row r="47" customFormat="false" ht="13.5" hidden="false" customHeight="false" outlineLevel="0" collapsed="false">
      <c r="A47" s="81" t="s">
        <v>70</v>
      </c>
    </row>
    <row r="48" customFormat="false" ht="13.5" hidden="false" customHeight="false" outlineLevel="0" collapsed="false">
      <c r="A48" s="82"/>
    </row>
    <row r="49" customFormat="false" ht="13.5" hidden="false" customHeight="false" outlineLevel="0" collapsed="false">
      <c r="A49" s="82"/>
    </row>
    <row r="50" customFormat="false" ht="13.5" hidden="false" customHeight="false" outlineLevel="0" collapsed="false">
      <c r="A50" s="82"/>
    </row>
    <row r="51" customFormat="false" ht="13.5" hidden="false" customHeight="false" outlineLevel="0" collapsed="false">
      <c r="A51" s="82"/>
    </row>
    <row r="52" customFormat="false" ht="13.5" hidden="false" customHeight="false" outlineLevel="0" collapsed="false">
      <c r="A52" s="82"/>
    </row>
    <row r="53" customFormat="false" ht="13.5" hidden="false" customHeight="false" outlineLevel="0" collapsed="false">
      <c r="A53" s="82"/>
    </row>
  </sheetData>
  <mergeCells count="25">
    <mergeCell ref="A1:K1"/>
    <mergeCell ref="E3:F3"/>
    <mergeCell ref="G3:H3"/>
    <mergeCell ref="E4:F8"/>
    <mergeCell ref="G4:H8"/>
    <mergeCell ref="A7:B7"/>
    <mergeCell ref="A11:B11"/>
    <mergeCell ref="A17:B17"/>
    <mergeCell ref="B18:C18"/>
    <mergeCell ref="A19:A22"/>
    <mergeCell ref="D19:D22"/>
    <mergeCell ref="E19:E22"/>
    <mergeCell ref="F19:F22"/>
    <mergeCell ref="G19:G22"/>
    <mergeCell ref="A26:B26"/>
    <mergeCell ref="C27:D27"/>
    <mergeCell ref="C28:D28"/>
    <mergeCell ref="C30:D30"/>
    <mergeCell ref="A33:B33"/>
    <mergeCell ref="C34:D34"/>
    <mergeCell ref="C35:D35"/>
    <mergeCell ref="C36:D36"/>
    <mergeCell ref="A38:B38"/>
    <mergeCell ref="G41:H41"/>
    <mergeCell ref="G42:H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3"/>
  <sheetViews>
    <sheetView showFormulas="false" showGridLines="true" showRowColHeaders="true" showZeros="true" rightToLeft="false" tabSelected="true" showOutlineSymbols="true" defaultGridColor="true" view="normal" topLeftCell="A32" colorId="64" zoomScale="100" zoomScaleNormal="100" zoomScalePageLayoutView="100" workbookViewId="0">
      <selection pane="topLeft" activeCell="M23" activeCellId="0" sqref="M23"/>
    </sheetView>
  </sheetViews>
  <sheetFormatPr defaultColWidth="9.00390625" defaultRowHeight="18" zeroHeight="false" outlineLevelRow="0" outlineLevelCol="0"/>
  <cols>
    <col collapsed="false" customWidth="true" hidden="false" outlineLevel="0" max="1" min="1" style="83" width="5.66"/>
    <col collapsed="false" customWidth="true" hidden="false" outlineLevel="0" max="2" min="2" style="84" width="28.5"/>
    <col collapsed="false" customWidth="true" hidden="false" outlineLevel="0" max="4" min="3" style="84" width="12.67"/>
    <col collapsed="false" customWidth="true" hidden="false" outlineLevel="0" max="5" min="5" style="84" width="15.66"/>
    <col collapsed="false" customWidth="false" hidden="false" outlineLevel="0" max="6" min="6" style="83" width="9"/>
    <col collapsed="false" customWidth="true" hidden="false" outlineLevel="0" max="7" min="7" style="83" width="5"/>
    <col collapsed="false" customWidth="true" hidden="false" outlineLevel="0" max="8" min="8" style="83" width="4.67"/>
    <col collapsed="false" customWidth="true" hidden="false" outlineLevel="0" max="9" min="9" style="83" width="7.16"/>
    <col collapsed="false" customWidth="true" hidden="false" outlineLevel="0" max="10" min="10" style="84" width="22.33"/>
    <col collapsed="false" customWidth="true" hidden="false" outlineLevel="0" max="11" min="11" style="85" width="9.51"/>
    <col collapsed="false" customWidth="true" hidden="false" outlineLevel="0" max="12" min="12" style="85" width="10.33"/>
    <col collapsed="false" customWidth="true" hidden="false" outlineLevel="0" max="13" min="13" style="83" width="41.67"/>
    <col collapsed="false" customWidth="true" hidden="false" outlineLevel="0" max="14" min="14" style="83" width="24.67"/>
    <col collapsed="false" customWidth="false" hidden="false" outlineLevel="0" max="16384" min="15" style="83" width="9"/>
  </cols>
  <sheetData>
    <row r="1" customFormat="false" ht="48" hidden="false" customHeight="true" outlineLevel="0" collapsed="false">
      <c r="A1" s="86" t="s">
        <v>71</v>
      </c>
      <c r="B1" s="87" t="s">
        <v>72</v>
      </c>
      <c r="C1" s="87" t="s">
        <v>73</v>
      </c>
      <c r="D1" s="87" t="s">
        <v>74</v>
      </c>
      <c r="E1" s="87" t="s">
        <v>75</v>
      </c>
      <c r="F1" s="86" t="s">
        <v>76</v>
      </c>
      <c r="G1" s="88" t="s">
        <v>77</v>
      </c>
      <c r="H1" s="88" t="s">
        <v>78</v>
      </c>
      <c r="I1" s="88" t="s">
        <v>79</v>
      </c>
      <c r="J1" s="89" t="s">
        <v>80</v>
      </c>
      <c r="K1" s="90" t="s">
        <v>81</v>
      </c>
      <c r="L1" s="91" t="s">
        <v>82</v>
      </c>
      <c r="M1" s="92" t="s">
        <v>83</v>
      </c>
      <c r="N1" s="93" t="s">
        <v>84</v>
      </c>
    </row>
    <row r="2" customFormat="false" ht="18" hidden="false" customHeight="true" outlineLevel="0" collapsed="false">
      <c r="A2" s="86" t="n">
        <v>1</v>
      </c>
      <c r="B2" s="87" t="s">
        <v>85</v>
      </c>
      <c r="C2" s="87" t="s">
        <v>86</v>
      </c>
      <c r="D2" s="87" t="s">
        <v>87</v>
      </c>
      <c r="E2" s="87" t="s">
        <v>88</v>
      </c>
      <c r="F2" s="86" t="n">
        <v>3</v>
      </c>
      <c r="G2" s="86" t="n">
        <f aca="false">2*F2</f>
        <v>6</v>
      </c>
      <c r="H2" s="86"/>
      <c r="I2" s="86" t="s">
        <v>89</v>
      </c>
      <c r="J2" s="87" t="s">
        <v>90</v>
      </c>
      <c r="K2" s="94" t="n">
        <v>0.02</v>
      </c>
      <c r="L2" s="94" t="n">
        <f aca="false">K2*F2</f>
        <v>0.06</v>
      </c>
      <c r="M2" s="86"/>
      <c r="N2" s="86"/>
    </row>
    <row r="3" customFormat="false" ht="18" hidden="false" customHeight="true" outlineLevel="0" collapsed="false">
      <c r="A3" s="86" t="n">
        <v>2</v>
      </c>
      <c r="B3" s="87" t="s">
        <v>91</v>
      </c>
      <c r="C3" s="87" t="s">
        <v>92</v>
      </c>
      <c r="D3" s="87" t="s">
        <v>93</v>
      </c>
      <c r="E3" s="87" t="s">
        <v>94</v>
      </c>
      <c r="F3" s="86" t="n">
        <v>64</v>
      </c>
      <c r="G3" s="86" t="n">
        <f aca="false">2*F3</f>
        <v>128</v>
      </c>
      <c r="H3" s="86"/>
      <c r="I3" s="86" t="s">
        <v>89</v>
      </c>
      <c r="J3" s="87" t="s">
        <v>95</v>
      </c>
      <c r="K3" s="94" t="n">
        <v>0.05</v>
      </c>
      <c r="L3" s="94" t="n">
        <f aca="false">K3*F3</f>
        <v>3.2</v>
      </c>
      <c r="M3" s="86"/>
      <c r="N3" s="86"/>
    </row>
    <row r="4" customFormat="false" ht="18" hidden="false" customHeight="true" outlineLevel="0" collapsed="false">
      <c r="A4" s="86" t="n">
        <v>3</v>
      </c>
      <c r="B4" s="95" t="s">
        <v>96</v>
      </c>
      <c r="C4" s="87" t="s">
        <v>86</v>
      </c>
      <c r="D4" s="87" t="s">
        <v>97</v>
      </c>
      <c r="E4" s="87" t="s">
        <v>98</v>
      </c>
      <c r="F4" s="86" t="n">
        <v>5</v>
      </c>
      <c r="G4" s="86" t="n">
        <f aca="false">2*F4</f>
        <v>10</v>
      </c>
      <c r="H4" s="86"/>
      <c r="I4" s="86" t="s">
        <v>89</v>
      </c>
      <c r="J4" s="87" t="s">
        <v>99</v>
      </c>
      <c r="K4" s="94" t="n">
        <v>0.02</v>
      </c>
      <c r="L4" s="94" t="n">
        <f aca="false">K4*F4</f>
        <v>0.1</v>
      </c>
      <c r="M4" s="86"/>
      <c r="N4" s="86"/>
    </row>
    <row r="5" customFormat="false" ht="18" hidden="false" customHeight="true" outlineLevel="0" collapsed="false">
      <c r="A5" s="86" t="n">
        <v>4</v>
      </c>
      <c r="B5" s="87" t="s">
        <v>100</v>
      </c>
      <c r="C5" s="87" t="s">
        <v>86</v>
      </c>
      <c r="D5" s="87" t="s">
        <v>101</v>
      </c>
      <c r="E5" s="87" t="s">
        <v>102</v>
      </c>
      <c r="F5" s="86" t="n">
        <v>5</v>
      </c>
      <c r="G5" s="86" t="n">
        <f aca="false">2*F5</f>
        <v>10</v>
      </c>
      <c r="H5" s="86"/>
      <c r="I5" s="86" t="s">
        <v>89</v>
      </c>
      <c r="J5" s="87" t="s">
        <v>103</v>
      </c>
      <c r="K5" s="94" t="n">
        <v>0.02</v>
      </c>
      <c r="L5" s="94" t="n">
        <f aca="false">K5*F5</f>
        <v>0.1</v>
      </c>
      <c r="M5" s="86"/>
      <c r="N5" s="86"/>
    </row>
    <row r="6" customFormat="false" ht="18" hidden="false" customHeight="true" outlineLevel="0" collapsed="false">
      <c r="A6" s="86" t="n">
        <v>5</v>
      </c>
      <c r="B6" s="87" t="s">
        <v>104</v>
      </c>
      <c r="C6" s="87" t="s">
        <v>86</v>
      </c>
      <c r="D6" s="87" t="s">
        <v>105</v>
      </c>
      <c r="E6" s="87" t="s">
        <v>98</v>
      </c>
      <c r="F6" s="86" t="n">
        <v>3</v>
      </c>
      <c r="G6" s="86" t="n">
        <f aca="false">2*F6</f>
        <v>6</v>
      </c>
      <c r="H6" s="86"/>
      <c r="I6" s="86" t="s">
        <v>89</v>
      </c>
      <c r="J6" s="87" t="s">
        <v>99</v>
      </c>
      <c r="K6" s="94" t="n">
        <v>0.02</v>
      </c>
      <c r="L6" s="94" t="n">
        <f aca="false">K6*F6</f>
        <v>0.06</v>
      </c>
      <c r="M6" s="86"/>
      <c r="N6" s="86"/>
    </row>
    <row r="7" customFormat="false" ht="18" hidden="false" customHeight="true" outlineLevel="0" collapsed="false">
      <c r="A7" s="86" t="n">
        <v>6</v>
      </c>
      <c r="B7" s="95" t="s">
        <v>106</v>
      </c>
      <c r="C7" s="87" t="s">
        <v>86</v>
      </c>
      <c r="D7" s="87" t="s">
        <v>107</v>
      </c>
      <c r="E7" s="87" t="s">
        <v>108</v>
      </c>
      <c r="F7" s="86" t="n">
        <v>5</v>
      </c>
      <c r="G7" s="86" t="n">
        <f aca="false">2*F7</f>
        <v>10</v>
      </c>
      <c r="H7" s="86"/>
      <c r="I7" s="86" t="s">
        <v>89</v>
      </c>
      <c r="J7" s="87" t="s">
        <v>109</v>
      </c>
      <c r="K7" s="94" t="n">
        <v>0.02</v>
      </c>
      <c r="L7" s="94" t="n">
        <f aca="false">K7*F7</f>
        <v>0.1</v>
      </c>
      <c r="M7" s="86"/>
      <c r="N7" s="86"/>
    </row>
    <row r="8" customFormat="false" ht="18" hidden="false" customHeight="true" outlineLevel="0" collapsed="false">
      <c r="A8" s="86" t="n">
        <v>6</v>
      </c>
      <c r="B8" s="95" t="s">
        <v>110</v>
      </c>
      <c r="C8" s="87" t="s">
        <v>86</v>
      </c>
      <c r="D8" s="87" t="s">
        <v>107</v>
      </c>
      <c r="E8" s="87" t="s">
        <v>108</v>
      </c>
      <c r="F8" s="86" t="n">
        <v>1</v>
      </c>
      <c r="G8" s="86" t="n">
        <f aca="false">2*F8</f>
        <v>2</v>
      </c>
      <c r="H8" s="86"/>
      <c r="I8" s="96" t="s">
        <v>111</v>
      </c>
      <c r="J8" s="87" t="s">
        <v>109</v>
      </c>
      <c r="K8" s="94" t="n">
        <v>0.02</v>
      </c>
      <c r="L8" s="94" t="n">
        <f aca="false">K7*F7</f>
        <v>0.1</v>
      </c>
      <c r="M8" s="86" t="s">
        <v>112</v>
      </c>
      <c r="N8" s="86"/>
    </row>
    <row r="9" customFormat="false" ht="18" hidden="false" customHeight="true" outlineLevel="0" collapsed="false">
      <c r="A9" s="86" t="n">
        <v>7</v>
      </c>
      <c r="B9" s="87" t="s">
        <v>113</v>
      </c>
      <c r="C9" s="87" t="s">
        <v>86</v>
      </c>
      <c r="D9" s="87" t="s">
        <v>114</v>
      </c>
      <c r="E9" s="87" t="s">
        <v>102</v>
      </c>
      <c r="F9" s="86" t="n">
        <v>7</v>
      </c>
      <c r="G9" s="86" t="n">
        <f aca="false">2*F8</f>
        <v>2</v>
      </c>
      <c r="H9" s="86"/>
      <c r="I9" s="86" t="s">
        <v>89</v>
      </c>
      <c r="J9" s="87" t="s">
        <v>103</v>
      </c>
      <c r="K9" s="94" t="n">
        <v>0.02</v>
      </c>
      <c r="L9" s="94" t="n">
        <f aca="false">K8*F8</f>
        <v>0.02</v>
      </c>
      <c r="M9" s="86"/>
      <c r="N9" s="86"/>
    </row>
    <row r="10" customFormat="false" ht="18" hidden="false" customHeight="true" outlineLevel="0" collapsed="false">
      <c r="A10" s="86" t="n">
        <v>9</v>
      </c>
      <c r="B10" s="87" t="s">
        <v>115</v>
      </c>
      <c r="C10" s="87" t="s">
        <v>86</v>
      </c>
      <c r="D10" s="87" t="s">
        <v>116</v>
      </c>
      <c r="E10" s="87" t="s">
        <v>117</v>
      </c>
      <c r="F10" s="86" t="n">
        <v>2</v>
      </c>
      <c r="G10" s="86" t="n">
        <f aca="false">2*F9</f>
        <v>14</v>
      </c>
      <c r="H10" s="86"/>
      <c r="I10" s="86" t="s">
        <v>89</v>
      </c>
      <c r="J10" s="87" t="s">
        <v>118</v>
      </c>
      <c r="K10" s="94" t="n">
        <v>0.02</v>
      </c>
      <c r="L10" s="94" t="n">
        <f aca="false">K9*F9</f>
        <v>0.14</v>
      </c>
      <c r="M10" s="86"/>
      <c r="N10" s="86"/>
    </row>
    <row r="11" customFormat="false" ht="18" hidden="false" customHeight="true" outlineLevel="0" collapsed="false">
      <c r="A11" s="86" t="n">
        <v>11</v>
      </c>
      <c r="B11" s="87" t="s">
        <v>119</v>
      </c>
      <c r="C11" s="87" t="s">
        <v>120</v>
      </c>
      <c r="D11" s="87" t="s">
        <v>121</v>
      </c>
      <c r="E11" s="87" t="s">
        <v>122</v>
      </c>
      <c r="F11" s="86" t="n">
        <v>6</v>
      </c>
      <c r="G11" s="86" t="n">
        <f aca="false">2*F10</f>
        <v>4</v>
      </c>
      <c r="H11" s="86"/>
      <c r="I11" s="86" t="s">
        <v>89</v>
      </c>
      <c r="J11" s="87" t="s">
        <v>123</v>
      </c>
      <c r="K11" s="94" t="n">
        <v>0.05</v>
      </c>
      <c r="L11" s="94" t="n">
        <f aca="false">K10*F10</f>
        <v>0.04</v>
      </c>
      <c r="M11" s="86"/>
      <c r="N11" s="86"/>
    </row>
    <row r="12" customFormat="false" ht="18" hidden="false" customHeight="true" outlineLevel="0" collapsed="false">
      <c r="A12" s="86" t="n">
        <v>11</v>
      </c>
      <c r="B12" s="87" t="s">
        <v>124</v>
      </c>
      <c r="C12" s="87" t="s">
        <v>120</v>
      </c>
      <c r="D12" s="87" t="s">
        <v>121</v>
      </c>
      <c r="E12" s="87" t="s">
        <v>122</v>
      </c>
      <c r="F12" s="86" t="n">
        <v>1</v>
      </c>
      <c r="G12" s="86" t="n">
        <f aca="false">2*F11</f>
        <v>12</v>
      </c>
      <c r="H12" s="86"/>
      <c r="I12" s="96" t="s">
        <v>111</v>
      </c>
      <c r="J12" s="87" t="s">
        <v>123</v>
      </c>
      <c r="K12" s="94" t="n">
        <v>0.05</v>
      </c>
      <c r="L12" s="94" t="n">
        <f aca="false">K10*F10</f>
        <v>0.04</v>
      </c>
      <c r="M12" s="86" t="s">
        <v>112</v>
      </c>
      <c r="N12" s="86"/>
    </row>
    <row r="13" customFormat="false" ht="18" hidden="false" customHeight="true" outlineLevel="0" collapsed="false">
      <c r="A13" s="86" t="n">
        <v>12</v>
      </c>
      <c r="B13" s="87" t="s">
        <v>125</v>
      </c>
      <c r="C13" s="87" t="s">
        <v>126</v>
      </c>
      <c r="D13" s="87" t="s">
        <v>127</v>
      </c>
      <c r="E13" s="87" t="s">
        <v>128</v>
      </c>
      <c r="F13" s="86" t="n">
        <v>1</v>
      </c>
      <c r="G13" s="86" t="n">
        <v>4</v>
      </c>
      <c r="H13" s="86"/>
      <c r="I13" s="86" t="s">
        <v>129</v>
      </c>
      <c r="J13" s="87" t="s">
        <v>130</v>
      </c>
      <c r="K13" s="94" t="n">
        <v>0.03</v>
      </c>
      <c r="L13" s="94" t="n">
        <f aca="false">K11*F11</f>
        <v>0.3</v>
      </c>
      <c r="M13" s="86"/>
      <c r="N13" s="86"/>
    </row>
    <row r="14" customFormat="false" ht="18" hidden="false" customHeight="true" outlineLevel="0" collapsed="false">
      <c r="A14" s="86" t="n">
        <v>13</v>
      </c>
      <c r="B14" s="87" t="s">
        <v>131</v>
      </c>
      <c r="C14" s="87" t="s">
        <v>132</v>
      </c>
      <c r="D14" s="87" t="s">
        <v>133</v>
      </c>
      <c r="E14" s="87" t="s">
        <v>134</v>
      </c>
      <c r="F14" s="86" t="n">
        <v>1</v>
      </c>
      <c r="G14" s="86" t="n">
        <v>2</v>
      </c>
      <c r="H14" s="86"/>
      <c r="I14" s="86" t="s">
        <v>89</v>
      </c>
      <c r="J14" s="87" t="s">
        <v>133</v>
      </c>
      <c r="K14" s="94" t="n">
        <v>0.01</v>
      </c>
      <c r="L14" s="94" t="n">
        <f aca="false">K12*F12</f>
        <v>0.05</v>
      </c>
      <c r="M14" s="86"/>
      <c r="N14" s="86"/>
    </row>
    <row r="15" customFormat="false" ht="18" hidden="false" customHeight="true" outlineLevel="0" collapsed="false">
      <c r="A15" s="86" t="n">
        <v>14</v>
      </c>
      <c r="B15" s="87" t="s">
        <v>135</v>
      </c>
      <c r="C15" s="87" t="s">
        <v>136</v>
      </c>
      <c r="D15" s="87" t="s">
        <v>137</v>
      </c>
      <c r="E15" s="87" t="s">
        <v>138</v>
      </c>
      <c r="F15" s="86" t="n">
        <v>2</v>
      </c>
      <c r="G15" s="86" t="n">
        <v>4</v>
      </c>
      <c r="H15" s="86"/>
      <c r="I15" s="86" t="s">
        <v>129</v>
      </c>
      <c r="J15" s="87" t="s">
        <v>137</v>
      </c>
      <c r="K15" s="94" t="n">
        <v>0.55</v>
      </c>
      <c r="L15" s="94" t="n">
        <f aca="false">K13*F13</f>
        <v>0.03</v>
      </c>
      <c r="M15" s="86"/>
      <c r="N15" s="86"/>
    </row>
    <row r="16" customFormat="false" ht="18" hidden="false" customHeight="true" outlineLevel="0" collapsed="false">
      <c r="A16" s="86" t="n">
        <v>15</v>
      </c>
      <c r="B16" s="87" t="s">
        <v>139</v>
      </c>
      <c r="C16" s="87" t="s">
        <v>140</v>
      </c>
      <c r="D16" s="87" t="s">
        <v>141</v>
      </c>
      <c r="E16" s="87" t="s">
        <v>142</v>
      </c>
      <c r="F16" s="86" t="n">
        <v>1</v>
      </c>
      <c r="G16" s="86" t="n">
        <v>16</v>
      </c>
      <c r="H16" s="86" t="n">
        <v>4</v>
      </c>
      <c r="I16" s="86" t="s">
        <v>89</v>
      </c>
      <c r="J16" s="87" t="s">
        <v>143</v>
      </c>
      <c r="K16" s="94" t="n">
        <v>0.1</v>
      </c>
      <c r="L16" s="94" t="n">
        <f aca="false">K14*F14</f>
        <v>0.01</v>
      </c>
      <c r="M16" s="86"/>
      <c r="N16" s="86"/>
    </row>
    <row r="17" customFormat="false" ht="18" hidden="false" customHeight="true" outlineLevel="0" collapsed="false">
      <c r="A17" s="86" t="n">
        <v>16</v>
      </c>
      <c r="B17" s="87" t="s">
        <v>144</v>
      </c>
      <c r="C17" s="97" t="s">
        <v>145</v>
      </c>
      <c r="D17" s="87" t="s">
        <v>146</v>
      </c>
      <c r="E17" s="97" t="s">
        <v>147</v>
      </c>
      <c r="F17" s="86" t="n">
        <v>1</v>
      </c>
      <c r="G17" s="86" t="n">
        <v>1</v>
      </c>
      <c r="H17" s="86"/>
      <c r="I17" s="98" t="s">
        <v>89</v>
      </c>
      <c r="J17" s="97" t="s">
        <v>147</v>
      </c>
      <c r="K17" s="94" t="n">
        <v>0.06</v>
      </c>
      <c r="L17" s="94" t="n">
        <f aca="false">K17*F17</f>
        <v>0.06</v>
      </c>
      <c r="M17" s="86"/>
      <c r="N17" s="86"/>
    </row>
    <row r="18" customFormat="false" ht="18" hidden="false" customHeight="true" outlineLevel="0" collapsed="false">
      <c r="A18" s="86" t="n">
        <v>16</v>
      </c>
      <c r="B18" s="87" t="s">
        <v>148</v>
      </c>
      <c r="C18" s="87" t="s">
        <v>149</v>
      </c>
      <c r="D18" s="87" t="s">
        <v>146</v>
      </c>
      <c r="E18" s="99" t="s">
        <v>111</v>
      </c>
      <c r="F18" s="86" t="n">
        <v>1</v>
      </c>
      <c r="G18" s="86"/>
      <c r="H18" s="86"/>
      <c r="I18" s="96" t="s">
        <v>111</v>
      </c>
      <c r="J18" s="87"/>
      <c r="K18" s="94"/>
      <c r="L18" s="94"/>
      <c r="M18" s="86"/>
      <c r="N18" s="86"/>
    </row>
    <row r="19" customFormat="false" ht="18" hidden="false" customHeight="true" outlineLevel="0" collapsed="false">
      <c r="A19" s="86" t="n">
        <v>17</v>
      </c>
      <c r="B19" s="87" t="s">
        <v>150</v>
      </c>
      <c r="C19" s="87" t="s">
        <v>151</v>
      </c>
      <c r="D19" s="87" t="s">
        <v>152</v>
      </c>
      <c r="E19" s="87" t="s">
        <v>153</v>
      </c>
      <c r="F19" s="86" t="n">
        <v>1</v>
      </c>
      <c r="G19" s="86" t="n">
        <v>4</v>
      </c>
      <c r="H19" s="86"/>
      <c r="I19" s="86" t="s">
        <v>89</v>
      </c>
      <c r="J19" s="87" t="s">
        <v>154</v>
      </c>
      <c r="K19" s="94" t="n">
        <v>0.05</v>
      </c>
      <c r="L19" s="94" t="n">
        <f aca="false">K16*F16</f>
        <v>0.1</v>
      </c>
      <c r="M19" s="86"/>
      <c r="N19" s="86"/>
    </row>
    <row r="20" customFormat="false" ht="18" hidden="false" customHeight="true" outlineLevel="0" collapsed="false">
      <c r="A20" s="86" t="n">
        <v>18</v>
      </c>
      <c r="B20" s="87" t="s">
        <v>155</v>
      </c>
      <c r="C20" s="87" t="s">
        <v>145</v>
      </c>
      <c r="D20" s="87" t="s">
        <v>156</v>
      </c>
      <c r="E20" s="87" t="s">
        <v>147</v>
      </c>
      <c r="F20" s="86" t="n">
        <v>1</v>
      </c>
      <c r="G20" s="86" t="n">
        <v>3</v>
      </c>
      <c r="H20" s="86"/>
      <c r="I20" s="86" t="s">
        <v>89</v>
      </c>
      <c r="J20" s="87" t="s">
        <v>147</v>
      </c>
      <c r="K20" s="94" t="n">
        <v>0.06</v>
      </c>
      <c r="L20" s="94" t="n">
        <f aca="false">K17*F17</f>
        <v>0.06</v>
      </c>
      <c r="M20" s="86"/>
      <c r="N20" s="86"/>
    </row>
    <row r="21" customFormat="false" ht="18" hidden="false" customHeight="true" outlineLevel="0" collapsed="false">
      <c r="A21" s="86" t="n">
        <v>19</v>
      </c>
      <c r="B21" s="87" t="s">
        <v>157</v>
      </c>
      <c r="C21" s="87" t="s">
        <v>158</v>
      </c>
      <c r="D21" s="87" t="s">
        <v>159</v>
      </c>
      <c r="E21" s="87" t="s">
        <v>160</v>
      </c>
      <c r="F21" s="86" t="n">
        <v>1</v>
      </c>
      <c r="G21" s="86" t="n">
        <v>2</v>
      </c>
      <c r="H21" s="86"/>
      <c r="I21" s="86" t="s">
        <v>129</v>
      </c>
      <c r="J21" s="87" t="s">
        <v>161</v>
      </c>
      <c r="K21" s="94" t="n">
        <v>0.07</v>
      </c>
      <c r="L21" s="94" t="n">
        <f aca="false">K18*F18</f>
        <v>0</v>
      </c>
      <c r="M21" s="86"/>
      <c r="N21" s="86"/>
    </row>
    <row r="22" customFormat="false" ht="18" hidden="false" customHeight="true" outlineLevel="0" collapsed="false">
      <c r="A22" s="86" t="n">
        <v>20</v>
      </c>
      <c r="B22" s="87" t="s">
        <v>162</v>
      </c>
      <c r="C22" s="87" t="s">
        <v>163</v>
      </c>
      <c r="D22" s="87" t="s">
        <v>164</v>
      </c>
      <c r="E22" s="87" t="s">
        <v>165</v>
      </c>
      <c r="F22" s="86" t="n">
        <v>1</v>
      </c>
      <c r="G22" s="86" t="n">
        <v>2</v>
      </c>
      <c r="H22" s="86"/>
      <c r="I22" s="86" t="s">
        <v>129</v>
      </c>
      <c r="J22" s="87" t="s">
        <v>166</v>
      </c>
      <c r="K22" s="94" t="n">
        <v>0.1</v>
      </c>
      <c r="L22" s="94" t="n">
        <f aca="false">K19*F19</f>
        <v>0.05</v>
      </c>
      <c r="M22" s="86"/>
      <c r="N22" s="86"/>
    </row>
    <row r="23" customFormat="false" ht="18" hidden="false" customHeight="true" outlineLevel="0" collapsed="false">
      <c r="A23" s="86" t="n">
        <v>21</v>
      </c>
      <c r="B23" s="87" t="s">
        <v>167</v>
      </c>
      <c r="C23" s="87" t="s">
        <v>168</v>
      </c>
      <c r="D23" s="87" t="s">
        <v>169</v>
      </c>
      <c r="E23" s="87" t="s">
        <v>169</v>
      </c>
      <c r="F23" s="86" t="n">
        <v>1</v>
      </c>
      <c r="G23" s="86" t="n">
        <v>3</v>
      </c>
      <c r="H23" s="86"/>
      <c r="I23" s="86" t="s">
        <v>129</v>
      </c>
      <c r="J23" s="87" t="s">
        <v>169</v>
      </c>
      <c r="K23" s="94" t="n">
        <v>0.8</v>
      </c>
      <c r="L23" s="94" t="n">
        <f aca="false">K20*F20</f>
        <v>0.06</v>
      </c>
      <c r="M23" s="86"/>
      <c r="N23" s="86"/>
    </row>
    <row r="24" customFormat="false" ht="18" hidden="false" customHeight="true" outlineLevel="0" collapsed="false">
      <c r="A24" s="86" t="n">
        <v>22</v>
      </c>
      <c r="B24" s="87" t="s">
        <v>170</v>
      </c>
      <c r="C24" s="87" t="s">
        <v>171</v>
      </c>
      <c r="D24" s="87" t="s">
        <v>172</v>
      </c>
      <c r="E24" s="87" t="s">
        <v>173</v>
      </c>
      <c r="F24" s="86" t="n">
        <v>2</v>
      </c>
      <c r="G24" s="86" t="n">
        <v>6</v>
      </c>
      <c r="H24" s="86"/>
      <c r="I24" s="86" t="s">
        <v>129</v>
      </c>
      <c r="J24" s="87" t="s">
        <v>174</v>
      </c>
      <c r="K24" s="94" t="n">
        <v>0.05</v>
      </c>
      <c r="L24" s="94" t="n">
        <f aca="false">K21*F21</f>
        <v>0.07</v>
      </c>
      <c r="M24" s="86"/>
      <c r="N24" s="86"/>
    </row>
    <row r="25" customFormat="false" ht="18" hidden="false" customHeight="true" outlineLevel="0" collapsed="false">
      <c r="A25" s="86" t="n">
        <v>23</v>
      </c>
      <c r="B25" s="87" t="s">
        <v>175</v>
      </c>
      <c r="C25" s="87" t="s">
        <v>171</v>
      </c>
      <c r="D25" s="87" t="s">
        <v>176</v>
      </c>
      <c r="E25" s="87" t="s">
        <v>177</v>
      </c>
      <c r="F25" s="86" t="n">
        <v>1</v>
      </c>
      <c r="G25" s="86" t="n">
        <v>3</v>
      </c>
      <c r="H25" s="86"/>
      <c r="I25" s="86" t="s">
        <v>89</v>
      </c>
      <c r="J25" s="87" t="s">
        <v>176</v>
      </c>
      <c r="K25" s="94" t="n">
        <v>0.01</v>
      </c>
      <c r="L25" s="94" t="n">
        <f aca="false">K22*F22</f>
        <v>0.1</v>
      </c>
      <c r="M25" s="86"/>
      <c r="N25" s="86"/>
    </row>
    <row r="26" customFormat="false" ht="18" hidden="false" customHeight="true" outlineLevel="0" collapsed="false">
      <c r="A26" s="86" t="n">
        <v>24</v>
      </c>
      <c r="B26" s="87" t="s">
        <v>178</v>
      </c>
      <c r="C26" s="87" t="s">
        <v>86</v>
      </c>
      <c r="D26" s="100" t="n">
        <v>0</v>
      </c>
      <c r="E26" s="87" t="s">
        <v>179</v>
      </c>
      <c r="F26" s="86" t="n">
        <v>8</v>
      </c>
      <c r="G26" s="86" t="n">
        <f aca="false">2*F23</f>
        <v>2</v>
      </c>
      <c r="H26" s="86"/>
      <c r="I26" s="86" t="s">
        <v>89</v>
      </c>
      <c r="J26" s="100" t="s">
        <v>180</v>
      </c>
      <c r="K26" s="94" t="n">
        <v>0.01</v>
      </c>
      <c r="L26" s="94" t="n">
        <f aca="false">K23*F23</f>
        <v>0.8</v>
      </c>
      <c r="M26" s="101" t="s">
        <v>181</v>
      </c>
      <c r="N26" s="86" t="s">
        <v>182</v>
      </c>
    </row>
    <row r="27" customFormat="false" ht="18" hidden="false" customHeight="true" outlineLevel="0" collapsed="false">
      <c r="A27" s="86" t="n">
        <v>24</v>
      </c>
      <c r="B27" s="87" t="s">
        <v>183</v>
      </c>
      <c r="C27" s="87" t="s">
        <v>86</v>
      </c>
      <c r="D27" s="100" t="n">
        <v>0</v>
      </c>
      <c r="E27" s="87" t="s">
        <v>179</v>
      </c>
      <c r="F27" s="86" t="n">
        <v>3</v>
      </c>
      <c r="G27" s="86" t="n">
        <f aca="false">2*F24</f>
        <v>4</v>
      </c>
      <c r="H27" s="86"/>
      <c r="I27" s="96" t="s">
        <v>111</v>
      </c>
      <c r="J27" s="100" t="s">
        <v>180</v>
      </c>
      <c r="K27" s="94" t="n">
        <v>0.01</v>
      </c>
      <c r="L27" s="94" t="n">
        <f aca="false">K23*F23</f>
        <v>0.8</v>
      </c>
      <c r="M27" s="101" t="s">
        <v>181</v>
      </c>
      <c r="N27" s="86" t="s">
        <v>182</v>
      </c>
    </row>
    <row r="28" customFormat="false" ht="18" hidden="false" customHeight="true" outlineLevel="0" collapsed="false">
      <c r="A28" s="86" t="n">
        <v>25</v>
      </c>
      <c r="B28" s="87" t="s">
        <v>184</v>
      </c>
      <c r="C28" s="87" t="s">
        <v>86</v>
      </c>
      <c r="D28" s="87" t="s">
        <v>185</v>
      </c>
      <c r="E28" s="87" t="s">
        <v>186</v>
      </c>
      <c r="F28" s="86" t="n">
        <v>2</v>
      </c>
      <c r="G28" s="86" t="n">
        <f aca="false">2*F24</f>
        <v>4</v>
      </c>
      <c r="H28" s="86"/>
      <c r="I28" s="86" t="s">
        <v>89</v>
      </c>
      <c r="J28" s="87" t="s">
        <v>187</v>
      </c>
      <c r="K28" s="94" t="n">
        <v>0.01</v>
      </c>
      <c r="L28" s="94" t="n">
        <f aca="false">K24*F24</f>
        <v>0.1</v>
      </c>
      <c r="M28" s="86"/>
      <c r="N28" s="86"/>
    </row>
    <row r="29" customFormat="false" ht="18" hidden="false" customHeight="true" outlineLevel="0" collapsed="false">
      <c r="A29" s="86" t="n">
        <v>26</v>
      </c>
      <c r="B29" s="87" t="s">
        <v>188</v>
      </c>
      <c r="C29" s="87" t="s">
        <v>86</v>
      </c>
      <c r="D29" s="87" t="s">
        <v>189</v>
      </c>
      <c r="E29" s="87" t="s">
        <v>190</v>
      </c>
      <c r="F29" s="86" t="n">
        <v>3</v>
      </c>
      <c r="G29" s="86" t="n">
        <f aca="false">2*F25</f>
        <v>2</v>
      </c>
      <c r="H29" s="86"/>
      <c r="I29" s="86" t="s">
        <v>89</v>
      </c>
      <c r="J29" s="87" t="s">
        <v>191</v>
      </c>
      <c r="K29" s="94" t="n">
        <v>0.01</v>
      </c>
      <c r="L29" s="94" t="n">
        <f aca="false">K25*F25</f>
        <v>0.01</v>
      </c>
      <c r="M29" s="86"/>
      <c r="N29" s="86"/>
    </row>
    <row r="30" customFormat="false" ht="18" hidden="false" customHeight="true" outlineLevel="0" collapsed="false">
      <c r="A30" s="86" t="n">
        <v>27</v>
      </c>
      <c r="B30" s="87" t="s">
        <v>192</v>
      </c>
      <c r="C30" s="87" t="s">
        <v>86</v>
      </c>
      <c r="D30" s="87" t="s">
        <v>193</v>
      </c>
      <c r="E30" s="87" t="s">
        <v>194</v>
      </c>
      <c r="F30" s="86" t="n">
        <v>4</v>
      </c>
      <c r="G30" s="86" t="n">
        <f aca="false">2*F26</f>
        <v>16</v>
      </c>
      <c r="H30" s="86"/>
      <c r="I30" s="86" t="s">
        <v>89</v>
      </c>
      <c r="J30" s="87" t="s">
        <v>195</v>
      </c>
      <c r="K30" s="94" t="n">
        <v>0.01</v>
      </c>
      <c r="L30" s="94" t="n">
        <f aca="false">K26*F26</f>
        <v>0.08</v>
      </c>
      <c r="M30" s="86"/>
      <c r="N30" s="86"/>
    </row>
    <row r="31" customFormat="false" ht="18" hidden="false" customHeight="true" outlineLevel="0" collapsed="false">
      <c r="A31" s="86" t="n">
        <v>28</v>
      </c>
      <c r="B31" s="87" t="s">
        <v>196</v>
      </c>
      <c r="C31" s="87" t="s">
        <v>86</v>
      </c>
      <c r="D31" s="87" t="s">
        <v>197</v>
      </c>
      <c r="E31" s="87" t="s">
        <v>198</v>
      </c>
      <c r="F31" s="86" t="n">
        <v>2</v>
      </c>
      <c r="G31" s="86" t="n">
        <f aca="false">2*F27</f>
        <v>6</v>
      </c>
      <c r="H31" s="86"/>
      <c r="I31" s="86" t="s">
        <v>89</v>
      </c>
      <c r="J31" s="87" t="s">
        <v>199</v>
      </c>
      <c r="K31" s="94" t="n">
        <v>0.01</v>
      </c>
      <c r="L31" s="94" t="n">
        <f aca="false">K27*F27</f>
        <v>0.03</v>
      </c>
      <c r="M31" s="86"/>
      <c r="N31" s="86"/>
    </row>
    <row r="32" customFormat="false" ht="18" hidden="false" customHeight="true" outlineLevel="0" collapsed="false">
      <c r="A32" s="86" t="n">
        <v>29</v>
      </c>
      <c r="B32" s="95" t="s">
        <v>200</v>
      </c>
      <c r="C32" s="87" t="s">
        <v>86</v>
      </c>
      <c r="D32" s="87" t="s">
        <v>201</v>
      </c>
      <c r="E32" s="87" t="s">
        <v>202</v>
      </c>
      <c r="F32" s="86" t="n">
        <v>10</v>
      </c>
      <c r="G32" s="86" t="n">
        <f aca="false">2*F28</f>
        <v>4</v>
      </c>
      <c r="H32" s="86"/>
      <c r="I32" s="86" t="s">
        <v>89</v>
      </c>
      <c r="J32" s="87" t="s">
        <v>203</v>
      </c>
      <c r="K32" s="94" t="n">
        <v>0.01</v>
      </c>
      <c r="L32" s="94" t="n">
        <f aca="false">K28*F28</f>
        <v>0.02</v>
      </c>
      <c r="M32" s="86"/>
      <c r="N32" s="86"/>
    </row>
    <row r="33" customFormat="false" ht="18" hidden="false" customHeight="true" outlineLevel="0" collapsed="false">
      <c r="A33" s="86" t="n">
        <v>29</v>
      </c>
      <c r="B33" s="95" t="s">
        <v>204</v>
      </c>
      <c r="C33" s="87" t="s">
        <v>86</v>
      </c>
      <c r="D33" s="87" t="s">
        <v>201</v>
      </c>
      <c r="E33" s="87" t="s">
        <v>202</v>
      </c>
      <c r="F33" s="86" t="n">
        <v>3</v>
      </c>
      <c r="G33" s="86" t="n">
        <f aca="false">2*F29</f>
        <v>6</v>
      </c>
      <c r="H33" s="86"/>
      <c r="I33" s="96" t="s">
        <v>111</v>
      </c>
      <c r="J33" s="87" t="s">
        <v>203</v>
      </c>
      <c r="K33" s="94" t="n">
        <v>0.01</v>
      </c>
      <c r="L33" s="94" t="n">
        <f aca="false">K28*F28</f>
        <v>0.02</v>
      </c>
      <c r="M33" s="86"/>
      <c r="N33" s="86"/>
    </row>
    <row r="34" customFormat="false" ht="18" hidden="false" customHeight="true" outlineLevel="0" collapsed="false">
      <c r="A34" s="86" t="n">
        <v>30</v>
      </c>
      <c r="B34" s="87" t="s">
        <v>205</v>
      </c>
      <c r="C34" s="87" t="s">
        <v>86</v>
      </c>
      <c r="D34" s="100" t="s">
        <v>206</v>
      </c>
      <c r="E34" s="87" t="s">
        <v>207</v>
      </c>
      <c r="F34" s="86" t="n">
        <v>2</v>
      </c>
      <c r="G34" s="86" t="n">
        <f aca="false">2*F29</f>
        <v>6</v>
      </c>
      <c r="H34" s="86"/>
      <c r="I34" s="86" t="s">
        <v>89</v>
      </c>
      <c r="J34" s="100" t="s">
        <v>208</v>
      </c>
      <c r="K34" s="94" t="n">
        <v>0.01</v>
      </c>
      <c r="L34" s="94" t="n">
        <f aca="false">K29*F29</f>
        <v>0.03</v>
      </c>
      <c r="M34" s="101" t="s">
        <v>181</v>
      </c>
      <c r="N34" s="86" t="s">
        <v>182</v>
      </c>
    </row>
    <row r="35" customFormat="false" ht="18" hidden="false" customHeight="true" outlineLevel="0" collapsed="false">
      <c r="A35" s="86" t="n">
        <v>31</v>
      </c>
      <c r="B35" s="87" t="s">
        <v>209</v>
      </c>
      <c r="C35" s="87" t="s">
        <v>86</v>
      </c>
      <c r="D35" s="87" t="s">
        <v>210</v>
      </c>
      <c r="E35" s="87" t="s">
        <v>211</v>
      </c>
      <c r="F35" s="86" t="n">
        <v>2</v>
      </c>
      <c r="G35" s="86" t="n">
        <f aca="false">2*F30</f>
        <v>8</v>
      </c>
      <c r="H35" s="86"/>
      <c r="I35" s="86" t="s">
        <v>89</v>
      </c>
      <c r="J35" s="87" t="s">
        <v>212</v>
      </c>
      <c r="K35" s="94" t="n">
        <v>0.01</v>
      </c>
      <c r="L35" s="94" t="n">
        <f aca="false">K30*F30</f>
        <v>0.04</v>
      </c>
      <c r="M35" s="86"/>
      <c r="N35" s="86"/>
    </row>
    <row r="36" customFormat="false" ht="18" hidden="false" customHeight="true" outlineLevel="0" collapsed="false">
      <c r="A36" s="86" t="n">
        <v>33</v>
      </c>
      <c r="B36" s="87" t="s">
        <v>213</v>
      </c>
      <c r="C36" s="87" t="s">
        <v>86</v>
      </c>
      <c r="D36" s="100" t="n">
        <v>330</v>
      </c>
      <c r="E36" s="87" t="s">
        <v>214</v>
      </c>
      <c r="F36" s="86" t="n">
        <v>1</v>
      </c>
      <c r="G36" s="86" t="n">
        <f aca="false">2*F31</f>
        <v>4</v>
      </c>
      <c r="H36" s="86"/>
      <c r="I36" s="86" t="s">
        <v>89</v>
      </c>
      <c r="J36" s="100" t="s">
        <v>215</v>
      </c>
      <c r="K36" s="94" t="n">
        <v>0.01</v>
      </c>
      <c r="L36" s="94" t="n">
        <f aca="false">K31*F31</f>
        <v>0.02</v>
      </c>
      <c r="M36" s="101" t="s">
        <v>181</v>
      </c>
      <c r="N36" s="86" t="s">
        <v>182</v>
      </c>
    </row>
    <row r="37" customFormat="false" ht="18" hidden="false" customHeight="true" outlineLevel="0" collapsed="false">
      <c r="A37" s="86" t="n">
        <v>34</v>
      </c>
      <c r="B37" s="87" t="s">
        <v>216</v>
      </c>
      <c r="C37" s="87" t="s">
        <v>86</v>
      </c>
      <c r="D37" s="87" t="n">
        <v>150</v>
      </c>
      <c r="E37" s="87" t="s">
        <v>217</v>
      </c>
      <c r="F37" s="86" t="n">
        <v>2</v>
      </c>
      <c r="G37" s="86" t="n">
        <f aca="false">2*F32</f>
        <v>20</v>
      </c>
      <c r="H37" s="86"/>
      <c r="I37" s="86" t="s">
        <v>89</v>
      </c>
      <c r="J37" s="87" t="s">
        <v>218</v>
      </c>
      <c r="K37" s="94" t="n">
        <v>0.01</v>
      </c>
      <c r="L37" s="94" t="n">
        <f aca="false">K32*F32</f>
        <v>0.1</v>
      </c>
      <c r="M37" s="86"/>
      <c r="N37" s="86"/>
    </row>
    <row r="38" customFormat="false" ht="18" hidden="false" customHeight="true" outlineLevel="0" collapsed="false">
      <c r="A38" s="86" t="n">
        <v>35</v>
      </c>
      <c r="B38" s="87" t="s">
        <v>219</v>
      </c>
      <c r="C38" s="100" t="s">
        <v>220</v>
      </c>
      <c r="D38" s="87" t="n">
        <v>24</v>
      </c>
      <c r="E38" s="100" t="s">
        <v>221</v>
      </c>
      <c r="F38" s="86" t="n">
        <v>2</v>
      </c>
      <c r="G38" s="86" t="n">
        <f aca="false">2*F33</f>
        <v>6</v>
      </c>
      <c r="H38" s="86"/>
      <c r="I38" s="86" t="s">
        <v>89</v>
      </c>
      <c r="J38" s="100" t="s">
        <v>222</v>
      </c>
      <c r="K38" s="94" t="n">
        <v>0.01</v>
      </c>
      <c r="L38" s="94" t="n">
        <f aca="false">K33*F33</f>
        <v>0.03</v>
      </c>
      <c r="M38" s="101" t="s">
        <v>223</v>
      </c>
      <c r="N38" s="86" t="s">
        <v>182</v>
      </c>
    </row>
    <row r="39" customFormat="false" ht="18" hidden="false" customHeight="true" outlineLevel="0" collapsed="false">
      <c r="A39" s="86" t="n">
        <v>36</v>
      </c>
      <c r="B39" s="87" t="s">
        <v>224</v>
      </c>
      <c r="C39" s="87" t="s">
        <v>86</v>
      </c>
      <c r="D39" s="87" t="n">
        <v>10</v>
      </c>
      <c r="E39" s="87" t="s">
        <v>225</v>
      </c>
      <c r="F39" s="86" t="n">
        <v>1</v>
      </c>
      <c r="G39" s="86" t="n">
        <f aca="false">2*F34</f>
        <v>4</v>
      </c>
      <c r="H39" s="86"/>
      <c r="I39" s="86" t="s">
        <v>89</v>
      </c>
      <c r="J39" s="87" t="s">
        <v>226</v>
      </c>
      <c r="K39" s="94" t="n">
        <v>0.01</v>
      </c>
      <c r="L39" s="94" t="n">
        <f aca="false">K34*F34</f>
        <v>0.02</v>
      </c>
      <c r="M39" s="86"/>
      <c r="N39" s="86"/>
    </row>
    <row r="40" customFormat="false" ht="18" hidden="false" customHeight="true" outlineLevel="0" collapsed="false">
      <c r="A40" s="86" t="n">
        <v>37</v>
      </c>
      <c r="B40" s="87" t="s">
        <v>227</v>
      </c>
      <c r="C40" s="87" t="s">
        <v>86</v>
      </c>
      <c r="D40" s="100" t="s">
        <v>228</v>
      </c>
      <c r="E40" s="100" t="s">
        <v>229</v>
      </c>
      <c r="F40" s="86" t="n">
        <v>1</v>
      </c>
      <c r="G40" s="86" t="n">
        <f aca="false">2*F35</f>
        <v>4</v>
      </c>
      <c r="H40" s="86"/>
      <c r="I40" s="86" t="s">
        <v>89</v>
      </c>
      <c r="J40" s="100" t="s">
        <v>230</v>
      </c>
      <c r="K40" s="94" t="n">
        <v>0.01</v>
      </c>
      <c r="L40" s="94" t="n">
        <f aca="false">K35*F35</f>
        <v>0.02</v>
      </c>
      <c r="M40" s="101" t="s">
        <v>181</v>
      </c>
      <c r="N40" s="86" t="s">
        <v>182</v>
      </c>
    </row>
    <row r="41" customFormat="false" ht="18" hidden="false" customHeight="true" outlineLevel="0" collapsed="false">
      <c r="A41" s="86" t="n">
        <v>38</v>
      </c>
      <c r="B41" s="87" t="s">
        <v>231</v>
      </c>
      <c r="C41" s="87" t="s">
        <v>86</v>
      </c>
      <c r="D41" s="100" t="s">
        <v>232</v>
      </c>
      <c r="E41" s="100" t="s">
        <v>233</v>
      </c>
      <c r="F41" s="86" t="n">
        <v>1</v>
      </c>
      <c r="G41" s="86" t="n">
        <f aca="false">2*F36</f>
        <v>2</v>
      </c>
      <c r="H41" s="86"/>
      <c r="I41" s="86" t="s">
        <v>89</v>
      </c>
      <c r="J41" s="100" t="s">
        <v>234</v>
      </c>
      <c r="K41" s="94" t="n">
        <v>0.01</v>
      </c>
      <c r="L41" s="94" t="n">
        <f aca="false">K36*F36</f>
        <v>0.01</v>
      </c>
      <c r="M41" s="101" t="s">
        <v>181</v>
      </c>
      <c r="N41" s="86" t="s">
        <v>182</v>
      </c>
    </row>
    <row r="42" customFormat="false" ht="18" hidden="false" customHeight="true" outlineLevel="0" collapsed="false">
      <c r="A42" s="86" t="n">
        <v>39</v>
      </c>
      <c r="B42" s="87" t="s">
        <v>235</v>
      </c>
      <c r="C42" s="87" t="s">
        <v>86</v>
      </c>
      <c r="D42" s="87" t="s">
        <v>236</v>
      </c>
      <c r="E42" s="87" t="s">
        <v>237</v>
      </c>
      <c r="F42" s="86" t="n">
        <v>1</v>
      </c>
      <c r="G42" s="86" t="n">
        <f aca="false">2*F37</f>
        <v>4</v>
      </c>
      <c r="H42" s="86"/>
      <c r="I42" s="86" t="s">
        <v>89</v>
      </c>
      <c r="J42" s="87" t="s">
        <v>238</v>
      </c>
      <c r="K42" s="94" t="n">
        <v>0.02</v>
      </c>
      <c r="L42" s="94" t="n">
        <f aca="false">K37*F37</f>
        <v>0.02</v>
      </c>
      <c r="M42" s="86"/>
      <c r="N42" s="86"/>
    </row>
    <row r="43" customFormat="false" ht="18" hidden="false" customHeight="true" outlineLevel="0" collapsed="false">
      <c r="A43" s="86" t="n">
        <v>40</v>
      </c>
      <c r="B43" s="87" t="s">
        <v>239</v>
      </c>
      <c r="C43" s="87" t="s">
        <v>86</v>
      </c>
      <c r="D43" s="87" t="s">
        <v>240</v>
      </c>
      <c r="E43" s="87" t="s">
        <v>241</v>
      </c>
      <c r="F43" s="86" t="n">
        <v>2</v>
      </c>
      <c r="G43" s="86" t="n">
        <f aca="false">2*F38</f>
        <v>4</v>
      </c>
      <c r="H43" s="86"/>
      <c r="I43" s="86" t="s">
        <v>89</v>
      </c>
      <c r="J43" s="87" t="s">
        <v>242</v>
      </c>
      <c r="K43" s="94" t="n">
        <v>0.01</v>
      </c>
      <c r="L43" s="94" t="n">
        <f aca="false">K38*F38</f>
        <v>0.02</v>
      </c>
      <c r="M43" s="86"/>
      <c r="N43" s="86"/>
    </row>
    <row r="44" customFormat="false" ht="18" hidden="false" customHeight="true" outlineLevel="0" collapsed="false">
      <c r="A44" s="86" t="n">
        <v>41</v>
      </c>
      <c r="B44" s="87" t="s">
        <v>243</v>
      </c>
      <c r="C44" s="87" t="s">
        <v>244</v>
      </c>
      <c r="D44" s="87" t="s">
        <v>245</v>
      </c>
      <c r="E44" s="87" t="s">
        <v>246</v>
      </c>
      <c r="F44" s="86" t="n">
        <v>1</v>
      </c>
      <c r="G44" s="86" t="n">
        <v>2</v>
      </c>
      <c r="H44" s="86"/>
      <c r="I44" s="86" t="s">
        <v>89</v>
      </c>
      <c r="J44" s="87" t="s">
        <v>247</v>
      </c>
      <c r="K44" s="94" t="n">
        <v>0.16</v>
      </c>
      <c r="L44" s="94" t="n">
        <f aca="false">K39*F39</f>
        <v>0.01</v>
      </c>
      <c r="M44" s="86"/>
      <c r="N44" s="86"/>
    </row>
    <row r="45" customFormat="false" ht="18" hidden="false" customHeight="true" outlineLevel="0" collapsed="false">
      <c r="A45" s="86" t="n">
        <v>42</v>
      </c>
      <c r="B45" s="87" t="s">
        <v>248</v>
      </c>
      <c r="C45" s="87" t="s">
        <v>249</v>
      </c>
      <c r="D45" s="87" t="s">
        <v>250</v>
      </c>
      <c r="E45" s="87" t="s">
        <v>251</v>
      </c>
      <c r="F45" s="86" t="n">
        <v>4</v>
      </c>
      <c r="G45" s="86" t="n">
        <v>8</v>
      </c>
      <c r="H45" s="86"/>
      <c r="I45" s="86" t="s">
        <v>89</v>
      </c>
      <c r="J45" s="87" t="s">
        <v>252</v>
      </c>
      <c r="K45" s="94" t="n">
        <v>0.07</v>
      </c>
      <c r="L45" s="94" t="n">
        <f aca="false">K40*F40</f>
        <v>0.01</v>
      </c>
      <c r="M45" s="86"/>
      <c r="N45" s="86"/>
    </row>
    <row r="46" customFormat="false" ht="18" hidden="false" customHeight="true" outlineLevel="0" collapsed="false">
      <c r="A46" s="86" t="n">
        <v>43</v>
      </c>
      <c r="B46" s="87" t="s">
        <v>253</v>
      </c>
      <c r="C46" s="87" t="s">
        <v>254</v>
      </c>
      <c r="D46" s="87" t="s">
        <v>255</v>
      </c>
      <c r="E46" s="87" t="s">
        <v>256</v>
      </c>
      <c r="F46" s="86" t="n">
        <v>1</v>
      </c>
      <c r="G46" s="86" t="n">
        <v>12</v>
      </c>
      <c r="H46" s="86"/>
      <c r="I46" s="86" t="s">
        <v>129</v>
      </c>
      <c r="J46" s="87" t="s">
        <v>257</v>
      </c>
      <c r="K46" s="94" t="n">
        <v>0.8</v>
      </c>
      <c r="L46" s="94" t="n">
        <f aca="false">K41*F41</f>
        <v>0.01</v>
      </c>
      <c r="M46" s="86"/>
      <c r="N46" s="86"/>
    </row>
    <row r="47" customFormat="false" ht="18" hidden="false" customHeight="true" outlineLevel="0" collapsed="false">
      <c r="A47" s="86" t="n">
        <v>44</v>
      </c>
      <c r="B47" s="87" t="s">
        <v>258</v>
      </c>
      <c r="C47" s="87" t="s">
        <v>259</v>
      </c>
      <c r="D47" s="87" t="s">
        <v>260</v>
      </c>
      <c r="E47" s="87" t="s">
        <v>261</v>
      </c>
      <c r="F47" s="86" t="n">
        <v>1</v>
      </c>
      <c r="G47" s="86" t="n">
        <v>5</v>
      </c>
      <c r="H47" s="86"/>
      <c r="I47" s="86" t="s">
        <v>129</v>
      </c>
      <c r="J47" s="87" t="s">
        <v>262</v>
      </c>
      <c r="K47" s="94" t="n">
        <v>0.06</v>
      </c>
      <c r="L47" s="94" t="n">
        <f aca="false">K42*F42</f>
        <v>0.02</v>
      </c>
      <c r="M47" s="86"/>
      <c r="N47" s="86"/>
    </row>
    <row r="48" customFormat="false" ht="18" hidden="false" customHeight="true" outlineLevel="0" collapsed="false">
      <c r="A48" s="86" t="n">
        <v>45</v>
      </c>
      <c r="B48" s="87" t="s">
        <v>263</v>
      </c>
      <c r="C48" s="87" t="s">
        <v>264</v>
      </c>
      <c r="D48" s="87" t="s">
        <v>265</v>
      </c>
      <c r="E48" s="87" t="s">
        <v>266</v>
      </c>
      <c r="F48" s="86" t="n">
        <v>1</v>
      </c>
      <c r="G48" s="86" t="n">
        <v>16</v>
      </c>
      <c r="H48" s="86"/>
      <c r="I48" s="86" t="s">
        <v>129</v>
      </c>
      <c r="J48" s="87" t="s">
        <v>267</v>
      </c>
      <c r="K48" s="94" t="n">
        <v>2</v>
      </c>
      <c r="L48" s="94" t="n">
        <f aca="false">K43*F43</f>
        <v>0.02</v>
      </c>
      <c r="M48" s="86"/>
      <c r="N48" s="86"/>
    </row>
    <row r="49" customFormat="false" ht="18" hidden="false" customHeight="true" outlineLevel="0" collapsed="false">
      <c r="A49" s="86" t="n">
        <v>46</v>
      </c>
      <c r="B49" s="87" t="s">
        <v>268</v>
      </c>
      <c r="C49" s="87" t="s">
        <v>269</v>
      </c>
      <c r="D49" s="87" t="s">
        <v>269</v>
      </c>
      <c r="E49" s="87" t="s">
        <v>270</v>
      </c>
      <c r="F49" s="86" t="n">
        <v>1</v>
      </c>
      <c r="G49" s="86" t="n">
        <v>41</v>
      </c>
      <c r="H49" s="86"/>
      <c r="I49" s="86" t="s">
        <v>129</v>
      </c>
      <c r="J49" s="87" t="s">
        <v>271</v>
      </c>
      <c r="K49" s="94" t="n">
        <v>4.1</v>
      </c>
      <c r="L49" s="94" t="n">
        <f aca="false">K44*F44</f>
        <v>0.16</v>
      </c>
      <c r="M49" s="86"/>
      <c r="N49" s="86"/>
    </row>
    <row r="50" customFormat="false" ht="18" hidden="false" customHeight="true" outlineLevel="0" collapsed="false">
      <c r="A50" s="86" t="n">
        <v>47</v>
      </c>
      <c r="B50" s="87" t="s">
        <v>272</v>
      </c>
      <c r="C50" s="87" t="s">
        <v>273</v>
      </c>
      <c r="D50" s="87" t="s">
        <v>274</v>
      </c>
      <c r="E50" s="87" t="s">
        <v>275</v>
      </c>
      <c r="F50" s="86" t="n">
        <v>1</v>
      </c>
      <c r="G50" s="86" t="n">
        <v>28</v>
      </c>
      <c r="H50" s="86"/>
      <c r="I50" s="86" t="s">
        <v>129</v>
      </c>
      <c r="J50" s="87" t="s">
        <v>276</v>
      </c>
      <c r="K50" s="94" t="n">
        <v>1</v>
      </c>
      <c r="L50" s="94" t="n">
        <f aca="false">K45*F45</f>
        <v>0.28</v>
      </c>
      <c r="M50" s="86"/>
      <c r="N50" s="86"/>
    </row>
    <row r="51" customFormat="false" ht="141" hidden="false" customHeight="true" outlineLevel="0" collapsed="false">
      <c r="A51" s="86" t="n">
        <v>48</v>
      </c>
      <c r="B51" s="87" t="s">
        <v>277</v>
      </c>
      <c r="C51" s="87" t="s">
        <v>278</v>
      </c>
      <c r="D51" s="87" t="s">
        <v>279</v>
      </c>
      <c r="E51" s="87" t="s">
        <v>280</v>
      </c>
      <c r="F51" s="86" t="n">
        <v>1</v>
      </c>
      <c r="G51" s="86" t="n">
        <v>24</v>
      </c>
      <c r="H51" s="86"/>
      <c r="I51" s="86" t="s">
        <v>89</v>
      </c>
      <c r="J51" s="87" t="s">
        <v>280</v>
      </c>
      <c r="K51" s="94" t="n">
        <v>0.3</v>
      </c>
      <c r="L51" s="94" t="n">
        <f aca="false">K46*F46</f>
        <v>0.8</v>
      </c>
      <c r="M51" s="86"/>
      <c r="N51" s="86"/>
    </row>
    <row r="52" s="83" customFormat="true" ht="18" hidden="false" customHeight="true" outlineLevel="0" collapsed="false">
      <c r="A52" s="86" t="n">
        <v>49</v>
      </c>
      <c r="B52" s="87" t="s">
        <v>281</v>
      </c>
      <c r="C52" s="87" t="s">
        <v>282</v>
      </c>
      <c r="D52" s="87" t="s">
        <v>283</v>
      </c>
      <c r="F52" s="86" t="n">
        <v>1</v>
      </c>
      <c r="G52" s="86"/>
      <c r="H52" s="86" t="n">
        <v>6</v>
      </c>
      <c r="I52" s="86" t="s">
        <v>89</v>
      </c>
      <c r="J52" s="102" t="s">
        <v>284</v>
      </c>
      <c r="K52" s="103" t="n">
        <v>2</v>
      </c>
      <c r="L52" s="94" t="n">
        <f aca="false">K47*F47</f>
        <v>0.06</v>
      </c>
      <c r="M52" s="104" t="s">
        <v>285</v>
      </c>
      <c r="N52" s="86"/>
    </row>
    <row r="53" customFormat="false" ht="18" hidden="false" customHeight="true" outlineLevel="0" collapsed="false">
      <c r="A53" s="86" t="n">
        <v>50</v>
      </c>
      <c r="B53" s="87" t="s">
        <v>286</v>
      </c>
      <c r="C53" s="87" t="s">
        <v>259</v>
      </c>
      <c r="D53" s="87" t="s">
        <v>287</v>
      </c>
      <c r="E53" s="87" t="s">
        <v>288</v>
      </c>
      <c r="F53" s="86" t="n">
        <v>1</v>
      </c>
      <c r="G53" s="86" t="n">
        <v>5</v>
      </c>
      <c r="H53" s="86"/>
      <c r="I53" s="86" t="s">
        <v>129</v>
      </c>
      <c r="J53" s="87" t="s">
        <v>289</v>
      </c>
      <c r="K53" s="94" t="n">
        <v>0.3</v>
      </c>
      <c r="L53" s="94" t="n">
        <f aca="false">K48*F48</f>
        <v>2</v>
      </c>
      <c r="M53" s="86"/>
      <c r="N53" s="86"/>
    </row>
    <row r="54" customFormat="false" ht="18" hidden="false" customHeight="false" outlineLevel="0" collapsed="false">
      <c r="A54" s="86" t="n">
        <v>51</v>
      </c>
      <c r="B54" s="87" t="s">
        <v>290</v>
      </c>
      <c r="C54" s="87" t="s">
        <v>291</v>
      </c>
      <c r="D54" s="87" t="s">
        <v>292</v>
      </c>
      <c r="E54" s="100" t="s">
        <v>293</v>
      </c>
      <c r="F54" s="86" t="n">
        <v>1</v>
      </c>
      <c r="G54" s="86" t="n">
        <v>4</v>
      </c>
      <c r="H54" s="86"/>
      <c r="I54" s="86" t="s">
        <v>129</v>
      </c>
      <c r="J54" s="100" t="s">
        <v>294</v>
      </c>
      <c r="K54" s="94" t="n">
        <v>1.3</v>
      </c>
      <c r="L54" s="94" t="n">
        <f aca="false">K49*F49</f>
        <v>4.1</v>
      </c>
      <c r="M54" s="105" t="s">
        <v>294</v>
      </c>
      <c r="N54" s="101" t="s">
        <v>295</v>
      </c>
    </row>
    <row r="55" customFormat="false" ht="18" hidden="false" customHeight="false" outlineLevel="0" collapsed="false">
      <c r="A55" s="86" t="n">
        <v>52</v>
      </c>
      <c r="B55" s="87" t="s">
        <v>296</v>
      </c>
      <c r="C55" s="87" t="s">
        <v>297</v>
      </c>
      <c r="D55" s="87" t="s">
        <v>298</v>
      </c>
      <c r="E55" s="87" t="s">
        <v>299</v>
      </c>
      <c r="F55" s="86" t="n">
        <v>1</v>
      </c>
      <c r="G55" s="86" t="n">
        <v>2</v>
      </c>
      <c r="H55" s="86"/>
      <c r="I55" s="86" t="s">
        <v>129</v>
      </c>
      <c r="J55" s="87" t="s">
        <v>300</v>
      </c>
      <c r="K55" s="94" t="n">
        <v>0.25</v>
      </c>
      <c r="L55" s="94" t="n">
        <f aca="false">K50*F50</f>
        <v>1</v>
      </c>
      <c r="M55" s="86"/>
      <c r="N55" s="86"/>
    </row>
    <row r="56" customFormat="false" ht="18" hidden="false" customHeight="false" outlineLevel="0" collapsed="false">
      <c r="A56" s="86" t="n">
        <v>53</v>
      </c>
      <c r="B56" s="106" t="s">
        <v>301</v>
      </c>
      <c r="C56" s="87" t="s">
        <v>302</v>
      </c>
      <c r="D56" s="87"/>
      <c r="E56" s="107" t="s">
        <v>303</v>
      </c>
      <c r="F56" s="86" t="n">
        <v>1</v>
      </c>
      <c r="G56" s="86"/>
      <c r="H56" s="86"/>
      <c r="I56" s="86" t="s">
        <v>89</v>
      </c>
      <c r="J56" s="107" t="s">
        <v>303</v>
      </c>
      <c r="K56" s="94" t="n">
        <v>7</v>
      </c>
      <c r="L56" s="94" t="n">
        <f aca="false">K51*F51</f>
        <v>0.3</v>
      </c>
      <c r="M56" s="86"/>
      <c r="N56" s="100" t="s">
        <v>304</v>
      </c>
    </row>
    <row r="57" customFormat="false" ht="81" hidden="false" customHeight="true" outlineLevel="0" collapsed="false">
      <c r="A57" s="86" t="n">
        <v>54</v>
      </c>
      <c r="B57" s="106" t="s">
        <v>305</v>
      </c>
      <c r="C57" s="87"/>
      <c r="D57" s="87"/>
      <c r="E57" s="87"/>
      <c r="F57" s="86" t="n">
        <v>1</v>
      </c>
      <c r="G57" s="86"/>
      <c r="H57" s="86"/>
      <c r="I57" s="86" t="s">
        <v>89</v>
      </c>
      <c r="J57" s="106" t="s">
        <v>306</v>
      </c>
      <c r="K57" s="94" t="n">
        <v>1</v>
      </c>
      <c r="L57" s="94" t="n">
        <f aca="false">K52*F52</f>
        <v>2</v>
      </c>
      <c r="M57" s="104"/>
      <c r="N57" s="86"/>
    </row>
    <row r="58" customFormat="false" ht="84.75" hidden="false" customHeight="true" outlineLevel="0" collapsed="false">
      <c r="F58" s="83" t="n">
        <f aca="false">SUM(F2:F52)</f>
        <v>179</v>
      </c>
      <c r="G58" s="83" t="n">
        <f aca="false">SUM(G2:G52)</f>
        <v>496</v>
      </c>
      <c r="H58" s="83" t="n">
        <f aca="false">SUM(H2:H52)</f>
        <v>10</v>
      </c>
      <c r="K58" s="85" t="n">
        <f aca="false">SUM(K2:K52)</f>
        <v>12.88</v>
      </c>
      <c r="L58" s="108" t="n">
        <f aca="false">SUM(L2:L52)</f>
        <v>8.39</v>
      </c>
    </row>
    <row r="59" customFormat="false" ht="18" hidden="false" customHeight="false" outlineLevel="0" collapsed="false"/>
    <row r="60" customFormat="false" ht="18" hidden="false" customHeight="false" outlineLevel="0" collapsed="false"/>
    <row r="61" customFormat="false" ht="18" hidden="false" customHeight="false" outlineLevel="0" collapsed="false"/>
    <row r="62" customFormat="false" ht="18" hidden="false" customHeight="false" outlineLevel="0" collapsed="false">
      <c r="A62" s="86"/>
      <c r="B62" s="87"/>
      <c r="C62" s="87" t="s">
        <v>307</v>
      </c>
      <c r="D62" s="87" t="s">
        <v>51</v>
      </c>
      <c r="E62" s="87"/>
      <c r="F62" s="86" t="n">
        <v>50</v>
      </c>
      <c r="G62" s="86"/>
      <c r="H62" s="86"/>
      <c r="I62" s="86"/>
      <c r="J62" s="87"/>
      <c r="K62" s="94" t="n">
        <v>0.75</v>
      </c>
      <c r="L62" s="94" t="n">
        <f aca="false">F57*K57</f>
        <v>1</v>
      </c>
      <c r="M62" s="86"/>
    </row>
    <row r="63" customFormat="false" ht="18" hidden="false" customHeight="false" outlineLevel="0" collapsed="false">
      <c r="A63" s="86"/>
      <c r="B63" s="87"/>
      <c r="C63" s="87" t="s">
        <v>307</v>
      </c>
      <c r="D63" s="87" t="s">
        <v>51</v>
      </c>
      <c r="E63" s="87"/>
      <c r="F63" s="86" t="n">
        <v>30</v>
      </c>
      <c r="G63" s="86"/>
      <c r="H63" s="86"/>
      <c r="I63" s="86"/>
      <c r="J63" s="87"/>
      <c r="K63" s="94" t="n">
        <v>0.82</v>
      </c>
      <c r="L63" s="94" t="n">
        <f aca="false">F58*K58</f>
        <v>2305.52</v>
      </c>
      <c r="M63" s="86"/>
    </row>
  </sheetData>
  <autoFilter ref="A1:M5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2026-03-25T08:38:00Z</dcterms:created>
  <dc:creator>openpyxl</dc:creator>
  <dc:description/>
  <dc:language>en-US</dc:language>
  <cp:lastModifiedBy/>
  <dcterms:modified xsi:type="dcterms:W3CDTF">2026-03-31T19:45:25Z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DBAC88A9FAA040959EEAD48EAA3BDBCF_13</vt:lpwstr>
  </property>
  <property fmtid="{D5CDD505-2E9C-101B-9397-08002B2CF9AE}" pid="4" name="KSOProductBuildVer">
    <vt:lpwstr>2052-12.1.0.25225</vt:lpwstr>
  </property>
  <property fmtid="{D5CDD505-2E9C-101B-9397-08002B2CF9AE}" pid="5" name="KSOReadingLayout">
    <vt:bool>1</vt:bool>
  </property>
</Properties>
</file>